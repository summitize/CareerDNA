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fdc89df7f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6de34699c2a04e4d"/>
    <x:sheet xmlns:r="http://schemas.openxmlformats.org/officeDocument/2006/relationships" name="Month Summary" sheetId="2" r:id="Rea338fe0e48d4c43"/>
    <x:sheet xmlns:r="http://schemas.openxmlformats.org/officeDocument/2006/relationships" name="Master Bank" sheetId="3" r:id="R9f9bec90a6214f62"/>
    <x:sheet xmlns:r="http://schemas.openxmlformats.org/officeDocument/2006/relationships" name="FD &amp; Investment" sheetId="4" r:id="R91622adb02514967"/>
    <x:sheet xmlns:r="http://schemas.openxmlformats.org/officeDocument/2006/relationships" name="Exceptions" sheetId="5" r:id="Rfac07e03eddc4629"/>
    <x:sheet xmlns:r="http://schemas.openxmlformats.org/officeDocument/2006/relationships" name="Control Recommendations" sheetId="6" r:id="R827b775f85b942a3"/>
    <x:sheet xmlns:r="http://schemas.openxmlformats.org/officeDocument/2006/relationships" name="Source Availability" sheetId="7" r:id="R1c4154a018bd4c1a"/>
    <x:sheet xmlns:r="http://schemas.openxmlformats.org/officeDocument/2006/relationships" name="Checks" sheetId="8" r:id="Reee4dcb24073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(#,##0);-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i/>
      <x:sz val="11"/>
      <x:color rgb="FF7F6000"/>
      <x:name val="Carlito"/>
    </x:font>
    <x:font>
      <x:b/>
      <x:sz val="11"/>
      <x:name val="Carlito"/>
    </x:font>
    <x:font>
      <x:b/>
      <x:sz val="13"/>
      <x:color rgb="FF000000"/>
      <x:name val="Carlito"/>
    </x:font>
    <x:font>
      <x:b/>
      <x:sz val="11"/>
      <x:color rgb="FFFFFFFF"/>
      <x:name val="Carlito"/>
    </x:font>
    <x:font>
      <x:b/>
      <x:sz val="11"/>
      <x:color rgb="FF9C000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</x:fills>
  <x:borders count="26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top style="thin">
        <x:color rgb="FF9EADBA"/>
      </x:top>
      <x:bottom style="thin">
        <x:color rgb="FF9EADBA"/>
      </x:bottom>
    </x:border>
    <x:border>
      <x:right style="thin">
        <x:color rgb="FFB7C9D6"/>
      </x:right>
      <x:top style="thin">
        <x:color rgb="FF9EADBA"/>
      </x:top>
      <x:bottom style="thin">
        <x:color rgb="FF9EADBA"/>
      </x:bottom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9E2F3"/>
      </x:left>
      <x:top style="thin">
        <x:color rgb="FFD9E2F3"/>
      </x:top>
      <x:bottom style="thin">
        <x:color rgb="FF9EADBA"/>
      </x:bottom>
    </x:border>
    <x:border>
      <x:top style="thin">
        <x:color rgb="FFD9E2F3"/>
      </x:top>
      <x:bottom style="thin">
        <x:color rgb="FF9EADBA"/>
      </x:bottom>
    </x:border>
    <x:border>
      <x:right style="thin">
        <x:color rgb="FFD9E2F3"/>
      </x:right>
      <x:top style="thin">
        <x:color rgb="FFD9E2F3"/>
      </x:top>
      <x:bottom style="thin">
        <x:color rgb="FF9EADBA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bottom style="double">
        <x:color rgb="FF17365D"/>
      </x:bottom>
    </x:border>
    <x:border>
      <x:left style="thin">
        <x:color rgb="FFB7C9D6"/>
      </x:left>
      <x:top style="thin">
        <x:color rgb="FFB7C9D6"/>
      </x:top>
      <x:bottom style="thin">
        <x:color rgb="FF9EADBA"/>
      </x:bottom>
    </x:border>
    <x:border>
      <x:top style="thin">
        <x:color rgb="FFB7C9D6"/>
      </x:top>
      <x:bottom style="thin">
        <x:color rgb="FF9EADBA"/>
      </x:bottom>
    </x:border>
    <x:border>
      <x:right style="thin">
        <x:color rgb="FFB7C9D6"/>
      </x:right>
      <x:top style="thin">
        <x:color rgb="FFB7C9D6"/>
      </x:top>
      <x:bottom style="thin">
        <x:color rgb="FF9EADBA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left" vertical="center"/>
    </x:xf>
    <x:xf numFmtId="0" fontId="1" fillId="2" borderId="5" xfId="0" applyNumberFormat="1" applyFont="1" applyFill="1" applyBorder="1" applyAlignment="1">
      <x:alignment horizontal="left" vertical="center"/>
    </x:xf>
    <x:xf numFmtId="0" fontId="1" fillId="2" borderId="6" xfId="0" applyNumberFormat="1" applyFont="1" applyFill="1" applyBorder="1" applyAlignment="1">
      <x:alignment horizontal="left" vertical="center"/>
    </x:xf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vertical="top" wrapText="1"/>
    </x:xf>
    <x:xf numFmtId="0" fontId="3" fillId="6" borderId="11" xfId="0" applyNumberFormat="1" applyFont="1" applyFill="1" applyBorder="1" applyAlignment="1">
      <x:alignment vertical="top" wrapText="1"/>
    </x:xf>
    <x:xf numFmtId="0" fontId="3" fillId="6" borderId="12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20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201" fontId="0" fillId="0" borderId="20" xfId="0" applyNumberFormat="1" applyFont="1" applyFill="1" applyBorder="1"/>
    <x:xf numFmtId="0" fontId="0" fillId="6" borderId="20" xfId="0" applyNumberFormat="1" applyFont="1" applyFill="1" applyBorder="1"/>
    <x:xf numFmtId="0" fontId="0" fillId="0" borderId="2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2" xfId="0" applyNumberFormat="1" applyFont="1" applyFill="1" applyBorder="1"/>
    <x:xf numFmtId="201" fontId="4" fillId="7" borderId="22" xfId="0" applyNumberFormat="1" applyFont="1" applyFill="1" applyBorder="1"/>
    <x:xf numFmtId="0" fontId="2" fillId="3" borderId="23" xfId="0" applyNumberFormat="1" applyFont="1" applyFill="1" applyBorder="1" applyAlignment="1">
      <x:alignment horizontal="center" vertical="center" wrapText="1"/>
    </x:xf>
    <x:xf numFmtId="0" fontId="2" fillId="3" borderId="24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 applyAlignment="1">
      <x:alignment horizontal="center" vertical="center" wrapText="1"/>
    </x:xf>
    <x:xf numFmtId="201" fontId="0" fillId="0" borderId="8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201" fontId="4" fillId="7" borderId="12" xfId="0" applyNumberFormat="1" applyFont="1" applyFill="1" applyBorder="1"/>
    <x:xf numFmtId="201" fontId="4" fillId="7" borderId="13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1" xfId="0" applyNumberFormat="1" applyFont="1" applyFill="1" applyBorder="1" applyAlignment="1">
      <x:alignment horizontal="right"/>
    </x:xf>
    <x:xf numFmtId="0" fontId="5" fillId="7" borderId="2" xfId="0" applyNumberFormat="1" applyFont="1" applyFill="1" applyBorder="1" applyAlignment="1">
      <x:alignment horizontal="right"/>
    </x:xf>
    <x:xf numFmtId="0" fontId="5" fillId="7" borderId="3" xfId="0" applyNumberFormat="1" applyFont="1" applyFill="1" applyBorder="1" applyAlignment="1">
      <x:alignment horizontal="right"/>
    </x:xf>
    <x:xf numFmtId="201" fontId="5" fillId="7" borderId="1" xfId="0" applyNumberFormat="1" applyFont="1" applyFill="1" applyBorder="1" applyAlignment="1">
      <x:alignment horizontal="right"/>
    </x:xf>
    <x:xf numFmtId="201" fontId="5" fillId="7" borderId="2" xfId="0" applyNumberFormat="1" applyFont="1" applyFill="1" applyBorder="1" applyAlignment="1">
      <x:alignment horizontal="right"/>
    </x:xf>
    <x:xf numFmtId="201" fontId="5" fillId="7" borderId="3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0e558755043f2" /><Relationship Type="http://schemas.openxmlformats.org/officeDocument/2006/relationships/theme" Target="/xl/theme/theme1.xml" Id="R4d90d445e90f4bdb" /><Relationship Type="http://schemas.openxmlformats.org/officeDocument/2006/relationships/sharedStrings" Target="/xl/sharedStrings.xml" Id="Rf0d4f571f8b948f1" /><Relationship Type="http://schemas.openxmlformats.org/officeDocument/2006/relationships/worksheet" Target="/xl/worksheets/sheet1.xml" Id="R6de34699c2a04e4d" /><Relationship Type="http://schemas.openxmlformats.org/officeDocument/2006/relationships/worksheet" Target="/xl/worksheets/sheet2.xml" Id="Rea338fe0e48d4c43" /><Relationship Type="http://schemas.openxmlformats.org/officeDocument/2006/relationships/worksheet" Target="/xl/worksheets/sheet3.xml" Id="R9f9bec90a6214f62" /><Relationship Type="http://schemas.openxmlformats.org/officeDocument/2006/relationships/worksheet" Target="/xl/worksheets/sheet4.xml" Id="R91622adb02514967" /><Relationship Type="http://schemas.openxmlformats.org/officeDocument/2006/relationships/worksheet" Target="/xl/worksheets/sheet5.xml" Id="Rfac07e03eddc4629" /><Relationship Type="http://schemas.openxmlformats.org/officeDocument/2006/relationships/worksheet" Target="/xl/worksheets/sheet6.xml" Id="R827b775f85b942a3" /><Relationship Type="http://schemas.openxmlformats.org/officeDocument/2006/relationships/worksheet" Target="/xl/worksheets/sheet7.xml" Id="R1c4154a018bd4c1a" /><Relationship Type="http://schemas.openxmlformats.org/officeDocument/2006/relationships/worksheet" Target="/xl/worksheets/sheet8.xml" Id="Reee4dcb2407344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7" hidden="0" customWidth="1"/>
    <x:col min="4" max="4" width="17" hidden="0" customWidth="1"/>
    <x:col min="5" max="5" width="24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25" customHeight="1">
      <x:c r="A1" s="4" t="str">
        <x:v>FY2025–26 financial-control reconciliation — bank-led preliminary dashboard</x:v>
      </x:c>
      <x:c r="B1" s="4"/>
      <x:c r="C1" s="4"/>
      <x:c r="D1" s="4"/>
      <x:c r="E1" s="4"/>
      <x:c r="F1" s="4"/>
      <x:c r="G1" s="4"/>
      <x:c r="H1" s="4"/>
    </x:row>
    <x:row r="2">
      <x:c r="A2" s="25" t="str">
        <x:v>Scope: 10 of 12 monthly bank statements were available. Dues collection, expense and Copilot reconciliation reports were not accessible in this task. This workbook is intentionally a bank-led control pack, not a completed four-way reconciliation.</x:v>
      </x:c>
      <x:c r="B2" s="25"/>
      <x:c r="C2" s="25"/>
      <x:c r="D2" s="25"/>
      <x:c r="E2" s="25"/>
      <x:c r="F2" s="25"/>
      <x:c r="G2" s="25"/>
      <x:c r="H2" s="25"/>
    </x:row>
    <x:row r="3">
      <x:c r="A3" s="25"/>
      <x:c r="B3" s="25"/>
      <x:c r="C3" s="25"/>
      <x:c r="D3" s="25"/>
      <x:c r="E3" s="25"/>
      <x:c r="F3" s="25"/>
      <x:c r="G3" s="25"/>
      <x:c r="H3" s="25"/>
    </x:row>
    <x:row r="5">
      <x:c r="A5" s="16" t="str">
        <x:v>Available-source bank credits</x:v>
      </x:c>
      <x:c r="B5" s="17" t="str">
        <x:v>Available-source bank debits</x:v>
      </x:c>
      <x:c r="C5" s="17" t="str">
        <x:v>FD investments</x:v>
      </x:c>
      <x:c r="D5" s="17" t="str">
        <x:v>FD maturities</x:v>
      </x:c>
      <x:c r="E5" s="17" t="str">
        <x:v>Possible collection credits</x:v>
      </x:c>
      <x:c r="F5" s="17" t="str">
        <x:v>Possible operating/vendor debits</x:v>
      </x:c>
      <x:c r="G5" s="17" t="str">
        <x:v>Bank rows normalized</x:v>
      </x:c>
      <x:c r="H5" s="18" t="str">
        <x:v>Exact duplicate bank rows</x:v>
      </x:c>
    </x:row>
    <x:row r="6">
      <x:c r="A6" s="74" t="n">
        <x:f>SUM('Master Bank'!$H$4:$H$484)</x:f>
        <x:v>7677620.1000000015</x:v>
      </x:c>
      <x:c r="B6" s="75" t="n">
        <x:f>SUM('Master Bank'!$G$4:$G$484)</x:f>
        <x:v>6906793</x:v>
      </x:c>
      <x:c r="C6" s="75" t="n">
        <x:f>SUMIFS('Master Bank'!$G$4:$G$484,'Master Bank'!$J$4:$J$484,"FD investment")</x:f>
        <x:v>2500000</x:v>
      </x:c>
      <x:c r="D6" s="75" t="n">
        <x:f>SUMIFS('Master Bank'!$H$4:$H$484,'Master Bank'!$J$4:$J$484,"FD maturity / redemption")</x:f>
        <x:v>1900000</x:v>
      </x:c>
      <x:c r="E6" s="75" t="n">
        <x:f>SUMIFS('Master Bank'!$H$4:$H$484,'Master Bank'!$J$4:$J$484,"Possible collection")</x:f>
        <x:v>4898134.100000002</x:v>
      </x:c>
      <x:c r="F6" s="75" t="n">
        <x:f>SUMIFS('Master Bank'!$G$4:$G$484,'Master Bank'!$J$4:$J$484,"Possible vendor / operating payment")</x:f>
        <x:v>4223832</x:v>
      </x:c>
      <x:c r="G6" s="75" t="n">
        <x:f>COUNTA('Master Bank'!$A$4:$A$484)</x:f>
        <x:v>481</x:v>
      </x:c>
      <x:c r="H6" s="76" t="n">
        <x:f>COUNTIF('Master Bank'!$M$4:$M$484,"Possible duplicate")</x:f>
        <x:v>0</x:v>
      </x:c>
    </x:row>
    <x:row r="8">
      <x:c r="A8" s="80" t="str">
        <x:v>Classification overview</x:v>
      </x:c>
      <x:c r="B8" s="80"/>
      <x:c r="C8" s="80"/>
      <x:c r="D8" s="80"/>
      <x:c r="F8" s="80" t="str">
        <x:v>Management interpretation</x:v>
      </x:c>
      <x:c r="G8" s="80"/>
      <x:c r="H8" s="80"/>
    </x:row>
    <x:row r="9">
      <x:c r="A9" s="16" t="str">
        <x:v>Classification</x:v>
      </x:c>
      <x:c r="B9" s="17" t="str">
        <x:v>Transactions</x:v>
      </x:c>
      <x:c r="C9" s="17" t="str">
        <x:v>Credits</x:v>
      </x:c>
      <x:c r="D9" s="18" t="str">
        <x:v>Debits</x:v>
      </x:c>
      <x:c r="F9" s="16" t="str">
        <x:v>Finding</x:v>
      </x:c>
      <x:c r="G9" s="17" t="str">
        <x:v>Implication</x:v>
      </x:c>
      <x:c r="H9" s="18"/>
    </x:row>
    <x:row r="10">
      <x:c r="A10" t="str">
        <x:v>Possible collection</x:v>
      </x:c>
      <x:c r="B10" s="42" t="n">
        <x:v>205</x:v>
      </x:c>
      <x:c r="C10" s="42" t="n">
        <x:v>4898134.100000002</x:v>
      </x:c>
      <x:c r="D10" s="42" t="n">
        <x:v>0</x:v>
      </x:c>
      <x:c r="F10" s="93" t="str">
        <x:v>1. Cash movement is not the same as operating income/expense: FD purchase and redemption flows are sizeable and need a separate sub-ledger.</x:v>
      </x:c>
      <x:c r="G10" s="94"/>
      <x:c r="H10" s="95"/>
    </x:row>
    <x:row r="11">
      <x:c r="A11" t="str">
        <x:v>Possible vendor / operating payment</x:v>
      </x:c>
      <x:c r="B11" s="42" t="n">
        <x:v>222</x:v>
      </x:c>
      <x:c r="C11" s="42" t="n">
        <x:v>0</x:v>
      </x:c>
      <x:c r="D11" s="42" t="n">
        <x:v>4223832</x:v>
      </x:c>
      <x:c r="F11" s="96"/>
      <x:c r="G11" s="97"/>
      <x:c r="H11" s="98"/>
    </x:row>
    <x:row r="12">
      <x:c r="A12" t="str">
        <x:v>FD investment</x:v>
      </x:c>
      <x:c r="B12" s="42" t="n">
        <x:v>10</x:v>
      </x:c>
      <x:c r="C12" s="42" t="n">
        <x:v>0</x:v>
      </x:c>
      <x:c r="D12" s="42" t="n">
        <x:v>2500000</x:v>
      </x:c>
      <x:c r="F12" s="112" t="str">
        <x:v>2. The source pack gap prevents a defensible conclusion on receipt matching, vendor-payment matching, unpaid vouchers, timing differences or Copilot UTR quality.</x:v>
      </x:c>
      <x:c r="G12" s="113"/>
      <x:c r="H12" s="114"/>
    </x:row>
    <x:row r="13">
      <x:c r="A13" t="str">
        <x:v>Other bank credit</x:v>
      </x:c>
      <x:c r="B13" s="42" t="n">
        <x:v>19</x:v>
      </x:c>
      <x:c r="C13" s="42" t="n">
        <x:v>859902</x:v>
      </x:c>
      <x:c r="D13" s="42" t="n">
        <x:v>0</x:v>
      </x:c>
      <x:c r="F13" s="115"/>
      <x:c r="G13" s="116"/>
      <x:c r="H13" s="117"/>
    </x:row>
    <x:row r="14">
      <x:c r="A14" t="str">
        <x:v>Tax / statutory payment</x:v>
      </x:c>
      <x:c r="B14" s="42" t="n">
        <x:v>7</x:v>
      </x:c>
      <x:c r="C14" s="42" t="n">
        <x:v>0</x:v>
      </x:c>
      <x:c r="D14" s="42" t="n">
        <x:v>16216</x:v>
      </x:c>
      <x:c r="F14" s="93" t="str">
        <x:v>3. The next practical step is to reattach the five missing files, then run the tiered exact/fuzzy matching protocol already designed in Control Recommendations.</x:v>
      </x:c>
      <x:c r="G14" s="94"/>
      <x:c r="H14" s="95"/>
    </x:row>
    <x:row r="15">
      <x:c r="A15" t="str">
        <x:v>Unclassified bank debit</x:v>
      </x:c>
      <x:c r="B15" s="42" t="n">
        <x:v>2</x:v>
      </x:c>
      <x:c r="C15" s="42" t="n">
        <x:v>0</x:v>
      </x:c>
      <x:c r="D15" s="42" t="n">
        <x:v>166745</x:v>
      </x:c>
      <x:c r="F15" s="96"/>
      <x:c r="G15" s="97"/>
      <x:c r="H15" s="98"/>
    </x:row>
    <x:row r="16">
      <x:c r="A16" t="str">
        <x:v>Interest income</x:v>
      </x:c>
      <x:c r="B16" s="42" t="n">
        <x:v>8</x:v>
      </x:c>
      <x:c r="C16" s="42" t="n">
        <x:v>19584</x:v>
      </x:c>
      <x:c r="D16" s="42" t="n">
        <x:v>0</x:v>
      </x:c>
    </x:row>
    <x:row r="17">
      <x:c r="A17" t="str">
        <x:v>FD maturity / redemption</x:v>
      </x:c>
      <x:c r="B17" s="42" t="n">
        <x:v>8</x:v>
      </x:c>
      <x:c r="C17" s="42" t="n">
        <x:v>1900000</x:v>
      </x:c>
      <x:c r="D17" s="42" t="n">
        <x:v>0</x:v>
      </x:c>
    </x:row>
    <x:row r="20">
      <x:c r="A20" s="80" t="str">
        <x:v>Bank balance &amp; coverage view</x:v>
      </x:c>
      <x:c r="B20" s="80"/>
      <x:c r="C20" s="80"/>
      <x:c r="D20" s="80"/>
      <x:c r="E20" s="80"/>
      <x:c r="F20" s="80"/>
      <x:c r="G20" s="80"/>
      <x:c r="H20" s="80"/>
    </x:row>
    <x:row r="21">
      <x:c r="A21" s="16" t="str">
        <x:v>Available statement months</x:v>
      </x:c>
      <x:c r="B21" s="17" t="str">
        <x:v>Missing statement months</x:v>
      </x:c>
      <x:c r="C21" s="17" t="str">
        <x:v>Earliest opening balance</x:v>
      </x:c>
      <x:c r="D21" s="17" t="str">
        <x:v>Latest accessible closing balance</x:v>
      </x:c>
      <x:c r="E21" s="17" t="str">
        <x:v>Source-pack status</x:v>
      </x:c>
      <x:c r="F21" s="17"/>
      <x:c r="G21" s="17"/>
      <x:c r="H21" s="18"/>
    </x:row>
    <x:row r="22">
      <x:c r="A22" s="42" t="n">
        <x:v>10</x:v>
      </x:c>
      <x:c r="B22" s="42" t="n">
        <x:v>2</x:v>
      </x:c>
      <x:c r="C22" s="42" t="n">
        <x:v>52801.32000000001</x:v>
      </x:c>
      <x:c r="D22" s="42" t="n">
        <x:v>446003.12</x:v>
      </x:c>
      <x:c r="E22" s="119" t="str">
        <x:v>Incomplete — matching reports not available</x:v>
      </x:c>
      <x:c r="F22"/>
      <x:c r="G22"/>
      <x:c r="H22"/>
    </x:row>
  </x:sheetData>
  <x:mergeCells>
    <x:mergeCell ref="A1:H1"/>
    <x:mergeCell ref="A2:H3"/>
    <x:mergeCell ref="A8:D8"/>
    <x:mergeCell ref="F8:H8"/>
    <x:mergeCell ref="F9:H9"/>
    <x:mergeCell ref="F10:H11"/>
    <x:mergeCell ref="F12:H13"/>
    <x:mergeCell ref="F14:H15"/>
    <x:mergeCell ref="A20:H20"/>
    <x:mergeCell ref="E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5" customHeight="1">
      <x:c r="A1" s="4" t="str">
        <x:v>Monthly cash and classification summary — statements available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58" t="str">
        <x:v>Month</x:v>
      </x:c>
      <x:c r="B3" s="59" t="str">
        <x:v>Source status</x:v>
      </x:c>
      <x:c r="C3" s="59" t="str">
        <x:v>Opening balance</x:v>
      </x:c>
      <x:c r="D3" s="59" t="str">
        <x:v>Bank credits</x:v>
      </x:c>
      <x:c r="E3" s="59" t="str">
        <x:v>Bank debits</x:v>
      </x:c>
      <x:c r="F3" s="59" t="str">
        <x:v>Net movement</x:v>
      </x:c>
      <x:c r="G3" s="59" t="str">
        <x:v>FD investments</x:v>
      </x:c>
      <x:c r="H3" s="59" t="str">
        <x:v>FD maturities</x:v>
      </x:c>
      <x:c r="I3" s="59" t="str">
        <x:v>Possible collections</x:v>
      </x:c>
      <x:c r="J3" s="59" t="str">
        <x:v>Possible vendor payments</x:v>
      </x:c>
      <x:c r="K3" s="59" t="str">
        <x:v>Closing balance</x:v>
      </x:c>
      <x:c r="L3" s="60" t="str">
        <x:v>Roll-forward check</x:v>
      </x:c>
    </x:row>
    <x:row r="4">
      <x:c r="A4" s="29" t="str">
        <x:v>Apr-25</x:v>
      </x:c>
      <x:c r="B4" s="30" t="str">
        <x:v>Available</x:v>
      </x:c>
      <x:c r="C4" s="42" t="n">
        <x:v>52801.32000000001</x:v>
      </x:c>
      <x:c r="D4" s="42" t="n">
        <x:f>SUMIFS('Master Bank'!$H$4:$H$484,'Master Bank'!$B$4:$B$484,$A4)</x:f>
        <x:v>1538362.2</x:v>
      </x:c>
      <x:c r="E4" s="42" t="n">
        <x:f>SUMIFS('Master Bank'!$G$4:$G$484,'Master Bank'!$B$4:$B$484,$A4)</x:f>
        <x:v>719740</x:v>
      </x:c>
      <x:c r="F4" s="42" t="n">
        <x:f>D4-E4</x:f>
        <x:v>818622.2</x:v>
      </x:c>
      <x:c r="G4" s="42" t="n">
        <x:f>SUMIFS('Master Bank'!$G$4:$G$484,'Master Bank'!$B$4:$B$484,$A4,'Master Bank'!$J$4:$J$484,"FD investment")</x:f>
        <x:v>400000</x:v>
      </x:c>
      <x:c r="H4" s="42" t="n">
        <x:f>SUMIFS('Master Bank'!$H$4:$H$484,'Master Bank'!$B$4:$B$484,$A4,'Master Bank'!$J$4:$J$484,"FD maturity / redemption")</x:f>
        <x:v>0</x:v>
      </x:c>
      <x:c r="I4" s="42" t="n">
        <x:f>SUMIFS('Master Bank'!$H$4:$H$484,'Master Bank'!$B$4:$B$484,$A4,'Master Bank'!$J$4:$J$484,"Possible collection")</x:f>
        <x:v>1460862.2</x:v>
      </x:c>
      <x:c r="J4" s="42" t="n">
        <x:f>SUMIFS('Master Bank'!$G$4:$G$484,'Master Bank'!$B$4:$B$484,$A4,'Master Bank'!$J$4:$J$484,"Possible vendor / operating payment")</x:f>
        <x:v>316445</x:v>
      </x:c>
      <x:c r="K4" s="42" t="n">
        <x:v>871423.52</x:v>
      </x:c>
      <x:c r="L4" s="61" t="n">
        <x:f>K4-C4-F4</x:f>
        <x:v>0</x:v>
      </x:c>
    </x:row>
    <x:row r="5">
      <x:c r="A5" s="29" t="str">
        <x:v>May-25</x:v>
      </x:c>
      <x:c r="B5" s="30" t="str">
        <x:v>Available</x:v>
      </x:c>
      <x:c r="C5" s="42" t="n">
        <x:v>871423.52</x:v>
      </x:c>
      <x:c r="D5" s="42" t="n">
        <x:f>SUMIFS('Master Bank'!$H$4:$H$484,'Master Bank'!$B$4:$B$484,$A5)</x:f>
        <x:v>820361.27</x:v>
      </x:c>
      <x:c r="E5" s="42" t="n">
        <x:f>SUMIFS('Master Bank'!$G$4:$G$484,'Master Bank'!$B$4:$B$484,$A5)</x:f>
        <x:v>958489</x:v>
      </x:c>
      <x:c r="F5" s="42" t="n">
        <x:f>D5-E5</x:f>
        <x:v>-138127.72999999998</x:v>
      </x:c>
      <x:c r="G5" s="42" t="n">
        <x:f>SUMIFS('Master Bank'!$G$4:$G$484,'Master Bank'!$B$4:$B$484,$A5,'Master Bank'!$J$4:$J$484,"FD investment")</x:f>
        <x:v>600000</x:v>
      </x:c>
      <x:c r="H5" s="42" t="n">
        <x:f>SUMIFS('Master Bank'!$H$4:$H$484,'Master Bank'!$B$4:$B$484,$A5,'Master Bank'!$J$4:$J$484,"FD maturity / redemption")</x:f>
        <x:v>200000</x:v>
      </x:c>
      <x:c r="I5" s="42" t="n">
        <x:f>SUMIFS('Master Bank'!$H$4:$H$484,'Master Bank'!$B$4:$B$484,$A5,'Master Bank'!$J$4:$J$484,"Possible collection")</x:f>
        <x:v>566536.27</x:v>
      </x:c>
      <x:c r="J5" s="42" t="n">
        <x:f>SUMIFS('Master Bank'!$G$4:$G$484,'Master Bank'!$B$4:$B$484,$A5,'Master Bank'!$J$4:$J$484,"Possible vendor / operating payment")</x:f>
        <x:v>331989</x:v>
      </x:c>
      <x:c r="K5" s="42" t="n">
        <x:v>733295.79</x:v>
      </x:c>
      <x:c r="L5" s="61" t="n">
        <x:f>K5-C5-F5</x:f>
        <x:v>0</x:v>
      </x:c>
    </x:row>
    <x:row r="6">
      <x:c r="A6" s="29" t="str">
        <x:v>Jun-25</x:v>
      </x:c>
      <x:c r="B6" s="30" t="str">
        <x:v>Available</x:v>
      </x:c>
      <x:c r="C6" s="42" t="n">
        <x:v>733295.79</x:v>
      </x:c>
      <x:c r="D6" s="42" t="n">
        <x:f>SUMIFS('Master Bank'!$H$4:$H$484,'Master Bank'!$B$4:$B$484,$A6)</x:f>
        <x:v>287575.57</x:v>
      </x:c>
      <x:c r="E6" s="42" t="n">
        <x:f>SUMIFS('Master Bank'!$G$4:$G$484,'Master Bank'!$B$4:$B$484,$A6)</x:f>
        <x:v>518517</x:v>
      </x:c>
      <x:c r="F6" s="42" t="n">
        <x:f>D6-E6</x:f>
        <x:v>-230941.43</x:v>
      </x:c>
      <x:c r="G6" s="42" t="n">
        <x:f>SUMIFS('Master Bank'!$G$4:$G$484,'Master Bank'!$B$4:$B$484,$A6,'Master Bank'!$J$4:$J$484,"FD investment")</x:f>
        <x:v>0</x:v>
      </x:c>
      <x:c r="H6" s="42" t="n">
        <x:f>SUMIFS('Master Bank'!$H$4:$H$484,'Master Bank'!$B$4:$B$484,$A6,'Master Bank'!$J$4:$J$484,"FD maturity / redemption")</x:f>
        <x:v>200000</x:v>
      </x:c>
      <x:c r="I6" s="42" t="n">
        <x:f>SUMIFS('Master Bank'!$H$4:$H$484,'Master Bank'!$B$4:$B$484,$A6,'Master Bank'!$J$4:$J$484,"Possible collection")</x:f>
        <x:v>85775.57</x:v>
      </x:c>
      <x:c r="J6" s="42" t="n">
        <x:f>SUMIFS('Master Bank'!$G$4:$G$484,'Master Bank'!$B$4:$B$484,$A6,'Master Bank'!$J$4:$J$484,"Possible vendor / operating payment")</x:f>
        <x:v>518517</x:v>
      </x:c>
      <x:c r="K6" s="42" t="n">
        <x:v>502354.36</x:v>
      </x:c>
      <x:c r="L6" s="61" t="n">
        <x:f>K6-C6-F6</x:f>
        <x:v>-5.820766091346741e-11</x:v>
      </x:c>
    </x:row>
    <x:row r="7">
      <x:c r="A7" s="29" t="str">
        <x:v>Jul-25</x:v>
      </x:c>
      <x:c r="B7" s="30" t="str">
        <x:v>Available</x:v>
      </x:c>
      <x:c r="C7" s="42" t="n">
        <x:v>502354.36</x:v>
      </x:c>
      <x:c r="D7" s="42" t="n">
        <x:f>SUMIFS('Master Bank'!$H$4:$H$484,'Master Bank'!$B$4:$B$484,$A7)</x:f>
        <x:v>302787.18</x:v>
      </x:c>
      <x:c r="E7" s="42" t="n">
        <x:f>SUMIFS('Master Bank'!$G$4:$G$484,'Master Bank'!$B$4:$B$484,$A7)</x:f>
        <x:v>498649</x:v>
      </x:c>
      <x:c r="F7" s="42" t="n">
        <x:f>D7-E7</x:f>
        <x:v>-195861.82</x:v>
      </x:c>
      <x:c r="G7" s="42" t="n">
        <x:f>SUMIFS('Master Bank'!$G$4:$G$484,'Master Bank'!$B$4:$B$484,$A7,'Master Bank'!$J$4:$J$484,"FD investment")</x:f>
        <x:v>0</x:v>
      </x:c>
      <x:c r="H7" s="42" t="n">
        <x:f>SUMIFS('Master Bank'!$H$4:$H$484,'Master Bank'!$B$4:$B$484,$A7,'Master Bank'!$J$4:$J$484,"FD maturity / redemption")</x:f>
        <x:v>200000</x:v>
      </x:c>
      <x:c r="I7" s="42" t="n">
        <x:f>SUMIFS('Master Bank'!$H$4:$H$484,'Master Bank'!$B$4:$B$484,$A7,'Master Bank'!$J$4:$J$484,"Possible collection")</x:f>
        <x:v>42235.18</x:v>
      </x:c>
      <x:c r="J7" s="42" t="n">
        <x:f>SUMIFS('Master Bank'!$G$4:$G$484,'Master Bank'!$B$4:$B$484,$A7,'Master Bank'!$J$4:$J$484,"Possible vendor / operating payment")</x:f>
        <x:v>493479</x:v>
      </x:c>
      <x:c r="K7" s="42" t="n">
        <x:v>306492.54</x:v>
      </x:c>
      <x:c r="L7" s="61" t="n">
        <x:f>K7-C7-F7</x:f>
        <x:v>0</x:v>
      </x:c>
    </x:row>
    <x:row r="8">
      <x:c r="A8" s="29" t="str">
        <x:v>Aug-25</x:v>
      </x:c>
      <x:c r="B8" s="30" t="str">
        <x:v>Available</x:v>
      </x:c>
      <x:c r="C8" s="42" t="n">
        <x:v>306492.54</x:v>
      </x:c>
      <x:c r="D8" s="42" t="n">
        <x:f>SUMIFS('Master Bank'!$H$4:$H$484,'Master Bank'!$B$4:$B$484,$A8)</x:f>
        <x:v>799536</x:v>
      </x:c>
      <x:c r="E8" s="42" t="n">
        <x:f>SUMIFS('Master Bank'!$G$4:$G$484,'Master Bank'!$B$4:$B$484,$A8)</x:f>
        <x:v>706403</x:v>
      </x:c>
      <x:c r="F8" s="42" t="n">
        <x:f>D8-E8</x:f>
        <x:v>93133</x:v>
      </x:c>
      <x:c r="G8" s="42" t="n">
        <x:f>SUMIFS('Master Bank'!$G$4:$G$484,'Master Bank'!$B$4:$B$484,$A8,'Master Bank'!$J$4:$J$484,"FD investment")</x:f>
        <x:v>0</x:v>
      </x:c>
      <x:c r="H8" s="42" t="n">
        <x:f>SUMIFS('Master Bank'!$H$4:$H$484,'Master Bank'!$B$4:$B$484,$A8,'Master Bank'!$J$4:$J$484,"FD maturity / redemption")</x:f>
        <x:v>200000</x:v>
      </x:c>
      <x:c r="I8" s="42" t="n">
        <x:f>SUMIFS('Master Bank'!$H$4:$H$484,'Master Bank'!$B$4:$B$484,$A8,'Master Bank'!$J$4:$J$484,"Possible collection")</x:f>
        <x:v>137258</x:v>
      </x:c>
      <x:c r="J8" s="42" t="n">
        <x:f>SUMIFS('Master Bank'!$G$4:$G$484,'Master Bank'!$B$4:$B$484,$A8,'Master Bank'!$J$4:$J$484,"Possible vendor / operating payment")</x:f>
        <x:v>706344</x:v>
      </x:c>
      <x:c r="K8" s="42" t="n">
        <x:v>399625.54</x:v>
      </x:c>
      <x:c r="L8" s="61" t="n">
        <x:f>K8-C8-F8</x:f>
        <x:v>0</x:v>
      </x:c>
    </x:row>
    <x:row r="9">
      <x:c r="A9" s="29" t="str">
        <x:v>Sep-25</x:v>
      </x:c>
      <x:c r="B9" s="30" t="str">
        <x:v>Available</x:v>
      </x:c>
      <x:c r="C9" s="42" t="n">
        <x:v>399625.54</x:v>
      </x:c>
      <x:c r="D9" s="42" t="n">
        <x:f>SUMIFS('Master Bank'!$H$4:$H$484,'Master Bank'!$B$4:$B$484,$A9)</x:f>
        <x:v>225423.68</x:v>
      </x:c>
      <x:c r="E9" s="42" t="n">
        <x:f>SUMIFS('Master Bank'!$G$4:$G$484,'Master Bank'!$B$4:$B$484,$A9)</x:f>
        <x:v>355522</x:v>
      </x:c>
      <x:c r="F9" s="42" t="n">
        <x:f>D9-E9</x:f>
        <x:v>-130098.32</x:v>
      </x:c>
      <x:c r="G9" s="42" t="n">
        <x:f>SUMIFS('Master Bank'!$G$4:$G$484,'Master Bank'!$B$4:$B$484,$A9,'Master Bank'!$J$4:$J$484,"FD investment")</x:f>
        <x:v>0</x:v>
      </x:c>
      <x:c r="H9" s="42" t="n">
        <x:f>SUMIFS('Master Bank'!$H$4:$H$484,'Master Bank'!$B$4:$B$484,$A9,'Master Bank'!$J$4:$J$484,"FD maturity / redemption")</x:f>
        <x:v>200000</x:v>
      </x:c>
      <x:c r="I9" s="42" t="n">
        <x:f>SUMIFS('Master Bank'!$H$4:$H$484,'Master Bank'!$B$4:$B$484,$A9,'Master Bank'!$J$4:$J$484,"Possible collection")</x:f>
        <x:v>21971.68</x:v>
      </x:c>
      <x:c r="J9" s="42" t="n">
        <x:f>SUMIFS('Master Bank'!$G$4:$G$484,'Master Bank'!$B$4:$B$484,$A9,'Master Bank'!$J$4:$J$484,"Possible vendor / operating payment")</x:f>
        <x:v>355522</x:v>
      </x:c>
      <x:c r="K9" s="42" t="n">
        <x:v>269527.22</x:v>
      </x:c>
      <x:c r="L9" s="61" t="n">
        <x:f>K9-C9-F9</x:f>
        <x:v>0</x:v>
      </x:c>
    </x:row>
    <x:row r="10">
      <x:c r="A10" s="29" t="str">
        <x:v>Oct-25</x:v>
      </x:c>
      <x:c r="B10" s="30" t="str">
        <x:v>Available</x:v>
      </x:c>
      <x:c r="C10" s="42" t="n">
        <x:v>269527.22</x:v>
      </x:c>
      <x:c r="D10" s="42" t="n">
        <x:f>SUMIFS('Master Bank'!$H$4:$H$484,'Master Bank'!$B$4:$B$484,$A10)</x:f>
        <x:v>1578600</x:v>
      </x:c>
      <x:c r="E10" s="42" t="n">
        <x:f>SUMIFS('Master Bank'!$G$4:$G$484,'Master Bank'!$B$4:$B$484,$A10)</x:f>
        <x:v>1235624</x:v>
      </x:c>
      <x:c r="F10" s="42" t="n">
        <x:f>D10-E10</x:f>
        <x:v>342976</x:v>
      </x:c>
      <x:c r="G10" s="42" t="n">
        <x:f>SUMIFS('Master Bank'!$G$4:$G$484,'Master Bank'!$B$4:$B$484,$A10,'Master Bank'!$J$4:$J$484,"FD investment")</x:f>
        <x:v>900000</x:v>
      </x:c>
      <x:c r="H10" s="42" t="n">
        <x:f>SUMIFS('Master Bank'!$H$4:$H$484,'Master Bank'!$B$4:$B$484,$A10,'Master Bank'!$J$4:$J$484,"FD maturity / redemption")</x:f>
        <x:v>0</x:v>
      </x:c>
      <x:c r="I10" s="42" t="n">
        <x:f>SUMIFS('Master Bank'!$H$4:$H$484,'Master Bank'!$B$4:$B$484,$A10,'Master Bank'!$J$4:$J$484,"Possible collection")</x:f>
        <x:v>1441400</x:v>
      </x:c>
      <x:c r="J10" s="42" t="n">
        <x:f>SUMIFS('Master Bank'!$G$4:$G$484,'Master Bank'!$B$4:$B$484,$A10,'Master Bank'!$J$4:$J$484,"Possible vendor / operating payment")</x:f>
        <x:v>328050</x:v>
      </x:c>
      <x:c r="K10" s="42" t="n">
        <x:v>612503.22</x:v>
      </x:c>
      <x:c r="L10" s="61" t="n">
        <x:f>K10-C10-F10</x:f>
        <x:v>0</x:v>
      </x:c>
    </x:row>
    <x:row r="11">
      <x:c r="A11" s="29" t="str">
        <x:v>Nov-25</x:v>
      </x:c>
      <x:c r="B11" s="30" t="str">
        <x:v>Available</x:v>
      </x:c>
      <x:c r="C11" s="42" t="n">
        <x:v>612503.22</x:v>
      </x:c>
      <x:c r="D11" s="42" t="n">
        <x:f>SUMIFS('Master Bank'!$H$4:$H$484,'Master Bank'!$B$4:$B$484,$A11)</x:f>
        <x:v>1059388.31</x:v>
      </x:c>
      <x:c r="E11" s="42" t="n">
        <x:f>SUMIFS('Master Bank'!$G$4:$G$484,'Master Bank'!$B$4:$B$484,$A11)</x:f>
        <x:v>1122192</x:v>
      </x:c>
      <x:c r="F11" s="42" t="n">
        <x:f>D11-E11</x:f>
        <x:v>-62803.689999999944</x:v>
      </x:c>
      <x:c r="G11" s="42" t="n">
        <x:f>SUMIFS('Master Bank'!$G$4:$G$484,'Master Bank'!$B$4:$B$484,$A11,'Master Bank'!$J$4:$J$484,"FD investment")</x:f>
        <x:v>600000</x:v>
      </x:c>
      <x:c r="H11" s="42" t="n">
        <x:f>SUMIFS('Master Bank'!$H$4:$H$484,'Master Bank'!$B$4:$B$484,$A11,'Master Bank'!$J$4:$J$484,"FD maturity / redemption")</x:f>
        <x:v>300000</x:v>
      </x:c>
      <x:c r="I11" s="42" t="n">
        <x:f>SUMIFS('Master Bank'!$H$4:$H$484,'Master Bank'!$B$4:$B$484,$A11,'Master Bank'!$J$4:$J$484,"Possible collection")</x:f>
        <x:v>712902.3099999999</x:v>
      </x:c>
      <x:c r="J11" s="42" t="n">
        <x:f>SUMIFS('Master Bank'!$G$4:$G$484,'Master Bank'!$B$4:$B$484,$A11,'Master Bank'!$J$4:$J$484,"Possible vendor / operating payment")</x:f>
        <x:v>522074</x:v>
      </x:c>
      <x:c r="K11" s="42" t="n">
        <x:v>549699.53</x:v>
      </x:c>
      <x:c r="L11" s="61" t="n">
        <x:f>K11-C11-F11</x:f>
        <x:v>0</x:v>
      </x:c>
    </x:row>
    <x:row r="12">
      <x:c r="A12" s="29" t="str">
        <x:v>Dec-25</x:v>
      </x:c>
      <x:c r="B12" s="30" t="str">
        <x:v>Available</x:v>
      </x:c>
      <x:c r="C12" s="42" t="n">
        <x:v>549699.53</x:v>
      </x:c>
      <x:c r="D12" s="42" t="n">
        <x:f>SUMIFS('Master Bank'!$H$4:$H$484,'Master Bank'!$B$4:$B$484,$A12)</x:f>
        <x:v>721393.39</x:v>
      </x:c>
      <x:c r="E12" s="42" t="n">
        <x:f>SUMIFS('Master Bank'!$G$4:$G$484,'Master Bank'!$B$4:$B$484,$A12)</x:f>
        <x:v>310990</x:v>
      </x:c>
      <x:c r="F12" s="42" t="n">
        <x:f>D12-E12</x:f>
        <x:v>410403.39</x:v>
      </x:c>
      <x:c r="G12" s="42" t="n">
        <x:f>SUMIFS('Master Bank'!$G$4:$G$484,'Master Bank'!$B$4:$B$484,$A12,'Master Bank'!$J$4:$J$484,"FD investment")</x:f>
        <x:v>0</x:v>
      </x:c>
      <x:c r="H12" s="42" t="n">
        <x:f>SUMIFS('Master Bank'!$H$4:$H$484,'Master Bank'!$B$4:$B$484,$A12,'Master Bank'!$J$4:$J$484,"FD maturity / redemption")</x:f>
        <x:v>300000</x:v>
      </x:c>
      <x:c r="I12" s="42" t="n">
        <x:f>SUMIFS('Master Bank'!$H$4:$H$484,'Master Bank'!$B$4:$B$484,$A12,'Master Bank'!$J$4:$J$484,"Possible collection")</x:f>
        <x:v>389157.39</x:v>
      </x:c>
      <x:c r="J12" s="42" t="n">
        <x:f>SUMIFS('Master Bank'!$G$4:$G$484,'Master Bank'!$B$4:$B$484,$A12,'Master Bank'!$J$4:$J$484,"Possible vendor / operating payment")</x:f>
        <x:v>310990</x:v>
      </x:c>
      <x:c r="K12" s="42" t="n">
        <x:v>960102.92</x:v>
      </x:c>
      <x:c r="L12" s="61" t="n">
        <x:f>K12-C12-F12</x:f>
        <x:v>0</x:v>
      </x:c>
    </x:row>
    <x:row r="13">
      <x:c r="A13" s="29" t="str">
        <x:v>Jan-26</x:v>
      </x:c>
      <x:c r="B13" s="30" t="str">
        <x:v>Missing source</x:v>
      </x:c>
      <x:c r="C13" s="42"/>
      <x:c r="D13" s="42"/>
      <x:c r="E13" s="42"/>
      <x:c r="F13" s="42"/>
      <x:c r="G13" s="42"/>
      <x:c r="H13" s="42"/>
      <x:c r="I13" s="42"/>
      <x:c r="J13" s="42"/>
      <x:c r="K13" s="42"/>
      <x:c r="L13" s="61"/>
    </x:row>
    <x:row r="14">
      <x:c r="A14" s="29" t="str">
        <x:v>Feb-26</x:v>
      </x:c>
      <x:c r="B14" s="30" t="str">
        <x:v>Available</x:v>
      </x:c>
      <x:c r="C14" s="42" t="n">
        <x:v>582477.62</x:v>
      </x:c>
      <x:c r="D14" s="42" t="n">
        <x:f>SUMIFS('Master Bank'!$H$4:$H$484,'Master Bank'!$B$4:$B$484,$A14)</x:f>
        <x:v>344192.5</x:v>
      </x:c>
      <x:c r="E14" s="42" t="n">
        <x:f>SUMIFS('Master Bank'!$G$4:$G$484,'Master Bank'!$B$4:$B$484,$A14)</x:f>
        <x:v>480667</x:v>
      </x:c>
      <x:c r="F14" s="42" t="n">
        <x:f>D14-E14</x:f>
        <x:v>-136474.5</x:v>
      </x:c>
      <x:c r="G14" s="42" t="n">
        <x:f>SUMIFS('Master Bank'!$G$4:$G$484,'Master Bank'!$B$4:$B$484,$A14,'Master Bank'!$J$4:$J$484,"FD investment")</x:f>
        <x:v>0</x:v>
      </x:c>
      <x:c r="H14" s="42" t="n">
        <x:f>SUMIFS('Master Bank'!$H$4:$H$484,'Master Bank'!$B$4:$B$484,$A14,'Master Bank'!$J$4:$J$484,"FD maturity / redemption")</x:f>
        <x:v>300000</x:v>
      </x:c>
      <x:c r="I14" s="42" t="n">
        <x:f>SUMIFS('Master Bank'!$H$4:$H$484,'Master Bank'!$B$4:$B$484,$A14,'Master Bank'!$J$4:$J$484,"Possible collection")</x:f>
        <x:v>40035.5</x:v>
      </x:c>
      <x:c r="J14" s="42" t="n">
        <x:f>SUMIFS('Master Bank'!$G$4:$G$484,'Master Bank'!$B$4:$B$484,$A14,'Master Bank'!$J$4:$J$484,"Possible vendor / operating payment")</x:f>
        <x:v>340422</x:v>
      </x:c>
      <x:c r="K14" s="42" t="n">
        <x:v>446003.12</x:v>
      </x:c>
      <x:c r="L14" s="61" t="n">
        <x:f>K14-C14-F14</x:f>
        <x:v>0</x:v>
      </x:c>
    </x:row>
    <x:row r="15">
      <x:c r="A15" s="29" t="str">
        <x:v>Mar-26</x:v>
      </x:c>
      <x:c r="B15" s="30" t="str">
        <x:v>Missing source</x:v>
      </x:c>
      <x:c r="C15" s="42"/>
      <x:c r="D15" s="42"/>
      <x:c r="E15" s="42"/>
      <x:c r="F15" s="42"/>
      <x:c r="G15" s="42"/>
      <x:c r="H15" s="42"/>
      <x:c r="I15" s="42"/>
      <x:c r="J15" s="42"/>
      <x:c r="K15" s="42"/>
      <x:c r="L15" s="61"/>
    </x:row>
    <x:row r="16">
      <x:c r="A16" s="62" t="str">
        <x:v>Available-source totals</x:v>
      </x:c>
      <x:c r="B16" s="63"/>
      <x:c r="C16" s="64"/>
      <x:c r="D16" s="64" t="n">
        <x:f>SUM(D4:D15)</x:f>
        <x:v>7677620.100000001</x:v>
      </x:c>
      <x:c r="E16" s="64" t="n">
        <x:f>SUM(E4:E15)</x:f>
        <x:v>6906793</x:v>
      </x:c>
      <x:c r="F16" s="64" t="n">
        <x:f>SUM(F4:F15)</x:f>
        <x:v>770827.1</x:v>
      </x:c>
      <x:c r="G16" s="64" t="n">
        <x:f>SUM(G4:G15)</x:f>
        <x:v>2500000</x:v>
      </x:c>
      <x:c r="H16" s="64" t="n">
        <x:f>SUM(H4:H15)</x:f>
        <x:v>1900000</x:v>
      </x:c>
      <x:c r="I16" s="64" t="n">
        <x:f>SUM(I4:I15)</x:f>
        <x:v>4898134.1</x:v>
      </x:c>
      <x:c r="J16" s="64" t="n">
        <x:f>SUM(J4:J15)</x:f>
        <x:v>4223832</x:v>
      </x:c>
      <x:c r="K16" s="64"/>
      <x:c r="L16" s="65"/>
    </x:row>
  </x:sheetData>
  <x:mergeCells>
    <x:mergeCell ref="A1:L1"/>
  </x:mergeCells>
  <x:conditionalFormatting sqref="B4:B15">
    <x:cfRule type="containsText" dxfId="1" priority="1" operator="containsText" text="Missing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68" hidden="0" customWidth="1"/>
    <x:col min="5" max="5" width="28" hidden="0" customWidth="1"/>
    <x:col min="6" max="6" width="12" hidden="0" customWidth="1"/>
    <x:col min="7" max="7" width="15" hidden="0" customWidth="1"/>
    <x:col min="8" max="8" width="15" hidden="0" customWidth="1"/>
    <x:col min="9" max="9" width="15" hidden="0" customWidth="1"/>
    <x:col min="10" max="10" width="30" hidden="0" customWidth="1"/>
    <x:col min="11" max="11" width="14" hidden="0" customWidth="1"/>
    <x:col min="12" max="12" width="25" hidden="0" customWidth="1"/>
    <x:col min="13" max="13" width="16" hidden="0" customWidth="1"/>
    <x:col min="14" max="14" width="18" hidden="0" customWidth="1"/>
  </x:cols>
  <x:sheetData>
    <x:row r="1" ht="25" customHeight="1">
      <x:c r="A1" s="4" t="str">
        <x:v>Master bank ledger — normalized from available HDFC statements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43" t="str">
        <x:v>Date</x:v>
      </x:c>
      <x:c r="B3" s="44" t="str">
        <x:v>Month</x:v>
      </x:c>
      <x:c r="C3" s="44" t="str">
        <x:v>Direction</x:v>
      </x:c>
      <x:c r="D3" s="44" t="str">
        <x:v>Narration</x:v>
      </x:c>
      <x:c r="E3" s="44" t="str">
        <x:v>Bank reference</x:v>
      </x:c>
      <x:c r="F3" s="44" t="str">
        <x:v>Value date</x:v>
      </x:c>
      <x:c r="G3" s="44" t="str">
        <x:v>Debit</x:v>
      </x:c>
      <x:c r="H3" s="44" t="str">
        <x:v>Credit</x:v>
      </x:c>
      <x:c r="I3" s="44" t="str">
        <x:v>Closing balance</x:v>
      </x:c>
      <x:c r="J3" s="44" t="str">
        <x:v>Classification</x:v>
      </x:c>
      <x:c r="K3" s="44" t="str">
        <x:v>Cash flow type</x:v>
      </x:c>
      <x:c r="L3" s="44" t="str">
        <x:v>Matching status</x:v>
      </x:c>
      <x:c r="M3" s="44" t="str">
        <x:v>Duplicate review</x:v>
      </x:c>
      <x:c r="N3" s="45" t="str">
        <x:v>Source statement</x:v>
      </x:c>
    </x:row>
    <x:row r="4">
      <x:c r="A4" s="46" t="n">
        <x:v>45748</x:v>
      </x:c>
      <x:c r="B4" s="30" t="str">
        <x:v>Apr-25</x:v>
      </x:c>
      <x:c r="C4" s="30" t="str">
        <x:v>Credit</x:v>
      </x:c>
      <x:c r="D4" s="19" t="str">
        <x:v>NEFT CR-YESB0000001-VIVISH TECHNOLOGIES PVT LTD-MONT VERT BIARRITZ CO OP HOUSING SO-YESBN52025040208913623</x:v>
      </x:c>
      <x:c r="E4" s="30" t="str">
        <x:v>YESBN52025040208913623</x:v>
      </x:c>
      <x:c r="F4" s="30" t="str">
        <x:v>02/04/25</x:v>
      </x:c>
      <x:c r="G4" s="42"/>
      <x:c r="H4" s="42" t="n">
        <x:v>24500</x:v>
      </x:c>
      <x:c r="I4" s="42" t="n">
        <x:v>77301.32</x:v>
      </x:c>
      <x:c r="J4" s="30" t="str">
        <x:v>Possible collection</x:v>
      </x:c>
      <x:c r="K4" s="30" t="str">
        <x:v>Operating</x:v>
      </x:c>
      <x:c r="L4" s="22" t="str">
        <x:v>Pending source matching</x:v>
      </x:c>
      <x:c r="M4" s="30" t="str">
        <x:v>None</x:v>
      </x:c>
      <x:c r="N4" s="47" t="str">
        <x:v>April2025.xlsx</x:v>
      </x:c>
    </x:row>
    <x:row r="5">
      <x:c r="A5" s="46" t="n">
        <x:v>45748</x:v>
      </x:c>
      <x:c r="B5" s="30" t="str">
        <x:v>Apr-25</x:v>
      </x:c>
      <x:c r="C5" s="30" t="str">
        <x:v>Credit</x:v>
      </x:c>
      <x:c r="D5" s="19" t="str">
        <x:v>NEFT CR-YESB0000001-VIVISH TECHNOLOGIES PVT LTD-MONT VERT BIARRITZ CO OP HOUSING SO-YESBN52025040208916435</x:v>
      </x:c>
      <x:c r="E5" s="30" t="str">
        <x:v>YESBN52025040208916435</x:v>
      </x:c>
      <x:c r="F5" s="30" t="str">
        <x:v>02/04/25</x:v>
      </x:c>
      <x:c r="G5" s="42"/>
      <x:c r="H5" s="42" t="n">
        <x:v>24500</x:v>
      </x:c>
      <x:c r="I5" s="42" t="n">
        <x:v>101801.32</x:v>
      </x:c>
      <x:c r="J5" s="30" t="str">
        <x:v>Possible collection</x:v>
      </x:c>
      <x:c r="K5" s="30" t="str">
        <x:v>Operating</x:v>
      </x:c>
      <x:c r="L5" s="22" t="str">
        <x:v>Pending source matching</x:v>
      </x:c>
      <x:c r="M5" s="30" t="str">
        <x:v>None</x:v>
      </x:c>
      <x:c r="N5" s="47" t="str">
        <x:v>April2025.xlsx</x:v>
      </x:c>
    </x:row>
    <x:row r="6">
      <x:c r="A6" s="46" t="n">
        <x:v>45748</x:v>
      </x:c>
      <x:c r="B6" s="30" t="str">
        <x:v>Apr-25</x:v>
      </x:c>
      <x:c r="C6" s="30" t="str">
        <x:v>Credit</x:v>
      </x:c>
      <x:c r="D6" s="19" t="str">
        <x:v>NEFT CR-YESB0000001-VIVISH TECHNOLOGIES PVT LTD-MONT VERT BIARRITZ CO OP HOUSING SO-YESBN52025040208925502</x:v>
      </x:c>
      <x:c r="E6" s="30" t="str">
        <x:v>YESBN52025040208925502</x:v>
      </x:c>
      <x:c r="F6" s="30" t="str">
        <x:v>02/04/25</x:v>
      </x:c>
      <x:c r="G6" s="42"/>
      <x:c r="H6" s="42" t="n">
        <x:v>24500</x:v>
      </x:c>
      <x:c r="I6" s="42" t="n">
        <x:v>126301.32</x:v>
      </x:c>
      <x:c r="J6" s="30" t="str">
        <x:v>Possible collection</x:v>
      </x:c>
      <x:c r="K6" s="30" t="str">
        <x:v>Operating</x:v>
      </x:c>
      <x:c r="L6" s="22" t="str">
        <x:v>Pending source matching</x:v>
      </x:c>
      <x:c r="M6" s="30" t="str">
        <x:v>None</x:v>
      </x:c>
      <x:c r="N6" s="47" t="str">
        <x:v>April2025.xlsx</x:v>
      </x:c>
    </x:row>
    <x:row r="7">
      <x:c r="A7" s="46" t="n">
        <x:v>45748</x:v>
      </x:c>
      <x:c r="B7" s="30" t="str">
        <x:v>Apr-25</x:v>
      </x:c>
      <x:c r="C7" s="30" t="str">
        <x:v>Credit</x:v>
      </x:c>
      <x:c r="D7" s="19" t="str">
        <x:v>NEFT CR-YESB0000001-VIVISH TECHNOLOGIES PVT LTD-MONT VERT BIARRITZ CO OP HOUSING SO-YESBN52025040208931124</x:v>
      </x:c>
      <x:c r="E7" s="30" t="str">
        <x:v>YESBN52025040208931124</x:v>
      </x:c>
      <x:c r="F7" s="30" t="str">
        <x:v>02/04/25</x:v>
      </x:c>
      <x:c r="G7" s="42"/>
      <x:c r="H7" s="42" t="n">
        <x:v>26500</x:v>
      </x:c>
      <x:c r="I7" s="42" t="n">
        <x:v>152801.32</x:v>
      </x:c>
      <x:c r="J7" s="30" t="str">
        <x:v>Possible collection</x:v>
      </x:c>
      <x:c r="K7" s="30" t="str">
        <x:v>Operating</x:v>
      </x:c>
      <x:c r="L7" s="22" t="str">
        <x:v>Pending source matching</x:v>
      </x:c>
      <x:c r="M7" s="30" t="str">
        <x:v>None</x:v>
      </x:c>
      <x:c r="N7" s="47" t="str">
        <x:v>April2025.xlsx</x:v>
      </x:c>
    </x:row>
    <x:row r="8">
      <x:c r="A8" s="46" t="n">
        <x:v>45748</x:v>
      </x:c>
      <x:c r="B8" s="30" t="str">
        <x:v>Apr-25</x:v>
      </x:c>
      <x:c r="C8" s="30" t="str">
        <x:v>Credit</x:v>
      </x:c>
      <x:c r="D8" s="19" t="str">
        <x:v>NEFT CR-YESB0000001-VIVISH TECHNOLOGIES PVT LTD-MONT VERT BIARRITZ CO OP HOUSING SO-YESBN52025040208932006</x:v>
      </x:c>
      <x:c r="E8" s="30" t="str">
        <x:v>YESBN52025040208932006</x:v>
      </x:c>
      <x:c r="F8" s="30" t="str">
        <x:v>02/04/25</x:v>
      </x:c>
      <x:c r="G8" s="42"/>
      <x:c r="H8" s="42" t="n">
        <x:v>26500</x:v>
      </x:c>
      <x:c r="I8" s="42" t="n">
        <x:v>179301.32</x:v>
      </x:c>
      <x:c r="J8" s="30" t="str">
        <x:v>Possible collection</x:v>
      </x:c>
      <x:c r="K8" s="30" t="str">
        <x:v>Operating</x:v>
      </x:c>
      <x:c r="L8" s="22" t="str">
        <x:v>Pending source matching</x:v>
      </x:c>
      <x:c r="M8" s="30" t="str">
        <x:v>None</x:v>
      </x:c>
      <x:c r="N8" s="47" t="str">
        <x:v>April2025.xlsx</x:v>
      </x:c>
    </x:row>
    <x:row r="9">
      <x:c r="A9" s="46" t="n">
        <x:v>45748</x:v>
      </x:c>
      <x:c r="B9" s="30" t="str">
        <x:v>Apr-25</x:v>
      </x:c>
      <x:c r="C9" s="30" t="str">
        <x:v>Credit</x:v>
      </x:c>
      <x:c r="D9" s="19" t="str">
        <x:v>NEFT CR-YESB0000001-VIVISH TECHNOLOGIES PVT LTD-MONT VERT BIARRITZ CO OP HOUSING SO-YESBN52025040208937094</x:v>
      </x:c>
      <x:c r="E9" s="30" t="str">
        <x:v>YESBN52025040208937094</x:v>
      </x:c>
      <x:c r="F9" s="30" t="str">
        <x:v>02/04/25</x:v>
      </x:c>
      <x:c r="G9" s="42"/>
      <x:c r="H9" s="42" t="n">
        <x:v>26500</x:v>
      </x:c>
      <x:c r="I9" s="42" t="n">
        <x:v>205801.32</x:v>
      </x:c>
      <x:c r="J9" s="30" t="str">
        <x:v>Possible collection</x:v>
      </x:c>
      <x:c r="K9" s="30" t="str">
        <x:v>Operating</x:v>
      </x:c>
      <x:c r="L9" s="22" t="str">
        <x:v>Pending source matching</x:v>
      </x:c>
      <x:c r="M9" s="30" t="str">
        <x:v>None</x:v>
      </x:c>
      <x:c r="N9" s="47" t="str">
        <x:v>April2025.xlsx</x:v>
      </x:c>
    </x:row>
    <x:row r="10">
      <x:c r="A10" s="46" t="n">
        <x:v>45748</x:v>
      </x:c>
      <x:c r="B10" s="30" t="str">
        <x:v>Apr-25</x:v>
      </x:c>
      <x:c r="C10" s="30" t="str">
        <x:v>Credit</x:v>
      </x:c>
      <x:c r="D10" s="19" t="str">
        <x:v>NEFT CR-YESB0000001-VIVISH TECHNOLOGIES PVT LTD-MONT VERT BIARRITZ CO OP HOUSING SO-YESBN52025040208938804</x:v>
      </x:c>
      <x:c r="E10" s="30" t="str">
        <x:v>YESBN52025040208938804</x:v>
      </x:c>
      <x:c r="F10" s="30" t="str">
        <x:v>02/04/25</x:v>
      </x:c>
      <x:c r="G10" s="42"/>
      <x:c r="H10" s="42" t="n">
        <x:v>24500</x:v>
      </x:c>
      <x:c r="I10" s="42" t="n">
        <x:v>230301.32</x:v>
      </x:c>
      <x:c r="J10" s="30" t="str">
        <x:v>Possible collection</x:v>
      </x:c>
      <x:c r="K10" s="30" t="str">
        <x:v>Operating</x:v>
      </x:c>
      <x:c r="L10" s="22" t="str">
        <x:v>Pending source matching</x:v>
      </x:c>
      <x:c r="M10" s="30" t="str">
        <x:v>None</x:v>
      </x:c>
      <x:c r="N10" s="47" t="str">
        <x:v>April2025.xlsx</x:v>
      </x:c>
    </x:row>
    <x:row r="11">
      <x:c r="A11" s="46" t="n">
        <x:v>45748</x:v>
      </x:c>
      <x:c r="B11" s="30" t="str">
        <x:v>Apr-25</x:v>
      </x:c>
      <x:c r="C11" s="30" t="str">
        <x:v>Credit</x:v>
      </x:c>
      <x:c r="D11" s="19" t="str">
        <x:v>NEFT CR-YESB0000001-VIVISH TECHNOLOGIES PVT LTD-MONT VERT BIARRITZ CO OP HOUSING SO-YESBN52025040208941491</x:v>
      </x:c>
      <x:c r="E11" s="30" t="str">
        <x:v>YESBN52025040208941491</x:v>
      </x:c>
      <x:c r="F11" s="30" t="str">
        <x:v>02/04/25</x:v>
      </x:c>
      <x:c r="G11" s="42"/>
      <x:c r="H11" s="42" t="n">
        <x:v>24500</x:v>
      </x:c>
      <x:c r="I11" s="42" t="n">
        <x:v>254801.32</x:v>
      </x:c>
      <x:c r="J11" s="30" t="str">
        <x:v>Possible collection</x:v>
      </x:c>
      <x:c r="K11" s="30" t="str">
        <x:v>Operating</x:v>
      </x:c>
      <x:c r="L11" s="22" t="str">
        <x:v>Pending source matching</x:v>
      </x:c>
      <x:c r="M11" s="30" t="str">
        <x:v>None</x:v>
      </x:c>
      <x:c r="N11" s="47" t="str">
        <x:v>April2025.xlsx</x:v>
      </x:c>
    </x:row>
    <x:row r="12">
      <x:c r="A12" s="46" t="n">
        <x:v>45749</x:v>
      </x:c>
      <x:c r="B12" s="30" t="str">
        <x:v>Apr-25</x:v>
      </x:c>
      <x:c r="C12" s="30" t="str">
        <x:v>Credit</x:v>
      </x:c>
      <x:c r="D12" s="19" t="str">
        <x:v>NEFT CR-YESB0000001-VIVISH TECHNOLOGIES PVT LTD-MONT VERT BIARRITZ CO OP HOUSING SO-YESBN52025040309298940</x:v>
      </x:c>
      <x:c r="E12" s="30" t="str">
        <x:v>YESBN52025040309298940</x:v>
      </x:c>
      <x:c r="F12" s="30" t="str">
        <x:v>03/04/25</x:v>
      </x:c>
      <x:c r="G12" s="42"/>
      <x:c r="H12" s="42" t="n">
        <x:v>6000</x:v>
      </x:c>
      <x:c r="I12" s="42" t="n">
        <x:v>260801.32</x:v>
      </x:c>
      <x:c r="J12" s="30" t="str">
        <x:v>Possible collection</x:v>
      </x:c>
      <x:c r="K12" s="30" t="str">
        <x:v>Operating</x:v>
      </x:c>
      <x:c r="L12" s="22" t="str">
        <x:v>Pending source matching</x:v>
      </x:c>
      <x:c r="M12" s="30" t="str">
        <x:v>None</x:v>
      </x:c>
      <x:c r="N12" s="47" t="str">
        <x:v>April2025.xlsx</x:v>
      </x:c>
    </x:row>
    <x:row r="13">
      <x:c r="A13" s="46" t="n">
        <x:v>45749</x:v>
      </x:c>
      <x:c r="B13" s="30" t="str">
        <x:v>Apr-25</x:v>
      </x:c>
      <x:c r="C13" s="30" t="str">
        <x:v>Credit</x:v>
      </x:c>
      <x:c r="D13" s="19" t="str">
        <x:v>NEFT CR-YESB0000001-VIVISH TECHNOLOGIES PVT LTD-MONT VERT BIARRITZ CO OP HOUSING SO-YESBN52025040309311269</x:v>
      </x:c>
      <x:c r="E13" s="30" t="str">
        <x:v>YESBN52025040309311269</x:v>
      </x:c>
      <x:c r="F13" s="30" t="str">
        <x:v>03/04/25</x:v>
      </x:c>
      <x:c r="G13" s="42"/>
      <x:c r="H13" s="42" t="n">
        <x:v>24500</x:v>
      </x:c>
      <x:c r="I13" s="42" t="n">
        <x:v>285301.32</x:v>
      </x:c>
      <x:c r="J13" s="30" t="str">
        <x:v>Possible collection</x:v>
      </x:c>
      <x:c r="K13" s="30" t="str">
        <x:v>Operating</x:v>
      </x:c>
      <x:c r="L13" s="22" t="str">
        <x:v>Pending source matching</x:v>
      </x:c>
      <x:c r="M13" s="30" t="str">
        <x:v>None</x:v>
      </x:c>
      <x:c r="N13" s="47" t="str">
        <x:v>April2025.xlsx</x:v>
      </x:c>
    </x:row>
    <x:row r="14">
      <x:c r="A14" s="46" t="n">
        <x:v>45749</x:v>
      </x:c>
      <x:c r="B14" s="30" t="str">
        <x:v>Apr-25</x:v>
      </x:c>
      <x:c r="C14" s="30" t="str">
        <x:v>Credit</x:v>
      </x:c>
      <x:c r="D14" s="19" t="str">
        <x:v>NEFT CR-YESB0000001-VIVISH TECHNOLOGIES PVT LTD-MONT VERT BIARRITZ CO OP HOUSING SO-YESBN52025040309312660</x:v>
      </x:c>
      <x:c r="E14" s="30" t="str">
        <x:v>YESBN52025040309312660</x:v>
      </x:c>
      <x:c r="F14" s="30" t="str">
        <x:v>03/04/25</x:v>
      </x:c>
      <x:c r="G14" s="42"/>
      <x:c r="H14" s="42" t="n">
        <x:v>6000</x:v>
      </x:c>
      <x:c r="I14" s="42" t="n">
        <x:v>291301.32</x:v>
      </x:c>
      <x:c r="J14" s="30" t="str">
        <x:v>Possible collection</x:v>
      </x:c>
      <x:c r="K14" s="30" t="str">
        <x:v>Operating</x:v>
      </x:c>
      <x:c r="L14" s="22" t="str">
        <x:v>Pending source matching</x:v>
      </x:c>
      <x:c r="M14" s="30" t="str">
        <x:v>None</x:v>
      </x:c>
      <x:c r="N14" s="47" t="str">
        <x:v>April2025.xlsx</x:v>
      </x:c>
    </x:row>
    <x:row r="15">
      <x:c r="A15" s="46" t="n">
        <x:v>45750</x:v>
      </x:c>
      <x:c r="B15" s="30" t="str">
        <x:v>Apr-25</x:v>
      </x:c>
      <x:c r="C15" s="30" t="str">
        <x:v>Debit</x:v>
      </x:c>
      <x:c r="D15" s="19" t="str">
        <x:v>CHQ PAID-MICR CTS-MU-THREE SAL ENTERPRIS</x:v>
      </x:c>
      <x:c r="E15" s="30" t="str">
        <x:v>0000000000000741</x:v>
      </x:c>
      <x:c r="F15" s="30" t="str">
        <x:v>04/04/25</x:v>
      </x:c>
      <x:c r="G15" s="42" t="n">
        <x:v>47511</x:v>
      </x:c>
      <x:c r="H15" s="42"/>
      <x:c r="I15" s="42" t="n">
        <x:v>243790.32</x:v>
      </x:c>
      <x:c r="J15" s="30" t="str">
        <x:v>Possible vendor / operating payment</x:v>
      </x:c>
      <x:c r="K15" s="30" t="str">
        <x:v>Operating</x:v>
      </x:c>
      <x:c r="L15" s="22" t="str">
        <x:v>Pending source matching</x:v>
      </x:c>
      <x:c r="M15" s="30" t="str">
        <x:v>None</x:v>
      </x:c>
      <x:c r="N15" s="47" t="str">
        <x:v>April2025.xlsx</x:v>
      </x:c>
    </x:row>
    <x:row r="16">
      <x:c r="A16" s="46" t="n">
        <x:v>45750</x:v>
      </x:c>
      <x:c r="B16" s="30" t="str">
        <x:v>Apr-25</x:v>
      </x:c>
      <x:c r="C16" s="30" t="str">
        <x:v>Debit</x:v>
      </x:c>
      <x:c r="D16" s="19" t="str">
        <x:v>CHQ PAID-MICR CTS-MU-MAHENDRA WATHMASENS</x:v>
      </x:c>
      <x:c r="E16" s="30" t="str">
        <x:v>0000000000000739</x:v>
      </x:c>
      <x:c r="F16" s="30" t="str">
        <x:v>04/04/25</x:v>
      </x:c>
      <x:c r="G16" s="42" t="n">
        <x:v>5000</x:v>
      </x:c>
      <x:c r="H16" s="42"/>
      <x:c r="I16" s="42" t="n">
        <x:v>238790.32</x:v>
      </x:c>
      <x:c r="J16" s="30" t="str">
        <x:v>Possible vendor / operating payment</x:v>
      </x:c>
      <x:c r="K16" s="30" t="str">
        <x:v>Operating</x:v>
      </x:c>
      <x:c r="L16" s="22" t="str">
        <x:v>Pending source matching</x:v>
      </x:c>
      <x:c r="M16" s="30" t="str">
        <x:v>None</x:v>
      </x:c>
      <x:c r="N16" s="47" t="str">
        <x:v>April2025.xlsx</x:v>
      </x:c>
    </x:row>
    <x:row r="17">
      <x:c r="A17" s="46" t="n">
        <x:v>45750</x:v>
      </x:c>
      <x:c r="B17" s="30" t="str">
        <x:v>Apr-25</x:v>
      </x:c>
      <x:c r="C17" s="30" t="str">
        <x:v>Credit</x:v>
      </x:c>
      <x:c r="D17" s="19" t="str">
        <x:v>NEFT CR-YESB0000001-VIVISH TECHNOLOGIES PVT LTD-MONT VERT BIARRITZ CO OP HOUSING SO-YESBN52025040409681621</x:v>
      </x:c>
      <x:c r="E17" s="30" t="str">
        <x:v>YESBN52025040409681621</x:v>
      </x:c>
      <x:c r="F17" s="30" t="str">
        <x:v>04/04/25</x:v>
      </x:c>
      <x:c r="G17" s="42"/>
      <x:c r="H17" s="42" t="n">
        <x:v>6000</x:v>
      </x:c>
      <x:c r="I17" s="42" t="n">
        <x:v>244790.32</x:v>
      </x:c>
      <x:c r="J17" s="30" t="str">
        <x:v>Possible collection</x:v>
      </x:c>
      <x:c r="K17" s="30" t="str">
        <x:v>Operating</x:v>
      </x:c>
      <x:c r="L17" s="22" t="str">
        <x:v>Pending source matching</x:v>
      </x:c>
      <x:c r="M17" s="30" t="str">
        <x:v>None</x:v>
      </x:c>
      <x:c r="N17" s="47" t="str">
        <x:v>April2025.xlsx</x:v>
      </x:c>
    </x:row>
    <x:row r="18">
      <x:c r="A18" s="46" t="n">
        <x:v>45750</x:v>
      </x:c>
      <x:c r="B18" s="30" t="str">
        <x:v>Apr-25</x:v>
      </x:c>
      <x:c r="C18" s="30" t="str">
        <x:v>Credit</x:v>
      </x:c>
      <x:c r="D18" s="19" t="str">
        <x:v>NEFT CR-YESB0000001-VIVISH TECHNOLOGIES PVT LTD-MONT VERT BIARRITZ CO OP HOUSING SO-YESBN52025040409681636</x:v>
      </x:c>
      <x:c r="E18" s="30" t="str">
        <x:v>YESBN52025040409681636</x:v>
      </x:c>
      <x:c r="F18" s="30" t="str">
        <x:v>04/04/25</x:v>
      </x:c>
      <x:c r="G18" s="42"/>
      <x:c r="H18" s="42" t="n">
        <x:v>24500</x:v>
      </x:c>
      <x:c r="I18" s="42" t="n">
        <x:v>269290.32</x:v>
      </x:c>
      <x:c r="J18" s="30" t="str">
        <x:v>Possible collection</x:v>
      </x:c>
      <x:c r="K18" s="30" t="str">
        <x:v>Operating</x:v>
      </x:c>
      <x:c r="L18" s="22" t="str">
        <x:v>Pending source matching</x:v>
      </x:c>
      <x:c r="M18" s="30" t="str">
        <x:v>None</x:v>
      </x:c>
      <x:c r="N18" s="47" t="str">
        <x:v>April2025.xlsx</x:v>
      </x:c>
    </x:row>
    <x:row r="19">
      <x:c r="A19" s="46" t="n">
        <x:v>45750</x:v>
      </x:c>
      <x:c r="B19" s="30" t="str">
        <x:v>Apr-25</x:v>
      </x:c>
      <x:c r="C19" s="30" t="str">
        <x:v>Credit</x:v>
      </x:c>
      <x:c r="D19" s="19" t="str">
        <x:v>NEFT CR-YESB0000001-VIVISH TECHNOLOGIES PVT LTD-MONT VERT BIARRITZ CO OP HOUSING SO-YESBN52025040409682074</x:v>
      </x:c>
      <x:c r="E19" s="30" t="str">
        <x:v>YESBN52025040409682074</x:v>
      </x:c>
      <x:c r="F19" s="30" t="str">
        <x:v>04/04/25</x:v>
      </x:c>
      <x:c r="G19" s="42"/>
      <x:c r="H19" s="42" t="n">
        <x:v>24500</x:v>
      </x:c>
      <x:c r="I19" s="42" t="n">
        <x:v>293790.32</x:v>
      </x:c>
      <x:c r="J19" s="30" t="str">
        <x:v>Possible collection</x:v>
      </x:c>
      <x:c r="K19" s="30" t="str">
        <x:v>Operating</x:v>
      </x:c>
      <x:c r="L19" s="22" t="str">
        <x:v>Pending source matching</x:v>
      </x:c>
      <x:c r="M19" s="30" t="str">
        <x:v>None</x:v>
      </x:c>
      <x:c r="N19" s="47" t="str">
        <x:v>April2025.xlsx</x:v>
      </x:c>
    </x:row>
    <x:row r="20">
      <x:c r="A20" s="46" t="n">
        <x:v>45751</x:v>
      </x:c>
      <x:c r="B20" s="30" t="str">
        <x:v>Apr-25</x:v>
      </x:c>
      <x:c r="C20" s="30" t="str">
        <x:v>Debit</x:v>
      </x:c>
      <x:c r="D20" s="19" t="str">
        <x:v>CHQ PAID-MICR CTS-MU-DEEPAN GAISURAD</x:v>
      </x:c>
      <x:c r="E20" s="30" t="str">
        <x:v>0000000000000737</x:v>
      </x:c>
      <x:c r="F20" s="30" t="str">
        <x:v>05/04/25</x:v>
      </x:c>
      <x:c r="G20" s="42" t="n">
        <x:v>24500</x:v>
      </x:c>
      <x:c r="H20" s="42"/>
      <x:c r="I20" s="42" t="n">
        <x:v>269290.32</x:v>
      </x:c>
      <x:c r="J20" s="30" t="str">
        <x:v>Possible vendor / operating payment</x:v>
      </x:c>
      <x:c r="K20" s="30" t="str">
        <x:v>Operating</x:v>
      </x:c>
      <x:c r="L20" s="22" t="str">
        <x:v>Pending source matching</x:v>
      </x:c>
      <x:c r="M20" s="30" t="str">
        <x:v>None</x:v>
      </x:c>
      <x:c r="N20" s="47" t="str">
        <x:v>April2025.xlsx</x:v>
      </x:c>
    </x:row>
    <x:row r="21">
      <x:c r="A21" s="46" t="n">
        <x:v>45751</x:v>
      </x:c>
      <x:c r="B21" s="30" t="str">
        <x:v>Apr-25</x:v>
      </x:c>
      <x:c r="C21" s="30" t="str">
        <x:v>Credit</x:v>
      </x:c>
      <x:c r="D21" s="19" t="str">
        <x:v>NEFT CR-YESB0000001-VIVISH TECHNOLOGIES PVT LTD-MONT VERT BIARRITZ CO OP HOUSING SO-YESBN52025040500047365</x:v>
      </x:c>
      <x:c r="E21" s="30" t="str">
        <x:v>YESBN52025040500047365</x:v>
      </x:c>
      <x:c r="F21" s="30" t="str">
        <x:v>05/04/25</x:v>
      </x:c>
      <x:c r="G21" s="42"/>
      <x:c r="H21" s="42" t="n">
        <x:v>26500</x:v>
      </x:c>
      <x:c r="I21" s="42" t="n">
        <x:v>295790.32</x:v>
      </x:c>
      <x:c r="J21" s="30" t="str">
        <x:v>Possible collection</x:v>
      </x:c>
      <x:c r="K21" s="30" t="str">
        <x:v>Operating</x:v>
      </x:c>
      <x:c r="L21" s="22" t="str">
        <x:v>Pending source matching</x:v>
      </x:c>
      <x:c r="M21" s="30" t="str">
        <x:v>None</x:v>
      </x:c>
      <x:c r="N21" s="47" t="str">
        <x:v>April2025.xlsx</x:v>
      </x:c>
    </x:row>
    <x:row r="22">
      <x:c r="A22" s="46" t="n">
        <x:v>45751</x:v>
      </x:c>
      <x:c r="B22" s="30" t="str">
        <x:v>Apr-25</x:v>
      </x:c>
      <x:c r="C22" s="30" t="str">
        <x:v>Credit</x:v>
      </x:c>
      <x:c r="D22" s="19" t="str">
        <x:v>NEFT CR-YESB0000001-VIVISH TECHNOLOGIES PVT LTD-MONT VERT BIARRITZ CO OP HOUSING SO-YESBN52025040500064767</x:v>
      </x:c>
      <x:c r="E22" s="30" t="str">
        <x:v>YESBN52025040500064767</x:v>
      </x:c>
      <x:c r="F22" s="30" t="str">
        <x:v>05/04/25</x:v>
      </x:c>
      <x:c r="G22" s="42"/>
      <x:c r="H22" s="42" t="n">
        <x:v>28862.2</x:v>
      </x:c>
      <x:c r="I22" s="42" t="n">
        <x:v>324652.52</x:v>
      </x:c>
      <x:c r="J22" s="30" t="str">
        <x:v>Possible collection</x:v>
      </x:c>
      <x:c r="K22" s="30" t="str">
        <x:v>Operating</x:v>
      </x:c>
      <x:c r="L22" s="22" t="str">
        <x:v>Pending source matching</x:v>
      </x:c>
      <x:c r="M22" s="30" t="str">
        <x:v>None</x:v>
      </x:c>
      <x:c r="N22" s="47" t="str">
        <x:v>April2025.xlsx</x:v>
      </x:c>
    </x:row>
    <x:row r="23">
      <x:c r="A23" s="46" t="n">
        <x:v>45753</x:v>
      </x:c>
      <x:c r="B23" s="30" t="str">
        <x:v>Apr-25</x:v>
      </x:c>
      <x:c r="C23" s="30" t="str">
        <x:v>Credit</x:v>
      </x:c>
      <x:c r="D23" s="19" t="str">
        <x:v>NEFT CR-YESB0000001-VIVISH TECHNOLOGIES PVT LTD-MONT VERT BIARRITZ CO OP HOUSING SO-YESBN52025040700673894</x:v>
      </x:c>
      <x:c r="E23" s="30" t="str">
        <x:v>YESBN52025040700673894</x:v>
      </x:c>
      <x:c r="F23" s="30" t="str">
        <x:v>07/04/25</x:v>
      </x:c>
      <x:c r="G23" s="42"/>
      <x:c r="H23" s="42" t="n">
        <x:v>24500</x:v>
      </x:c>
      <x:c r="I23" s="42" t="n">
        <x:v>349152.52</x:v>
      </x:c>
      <x:c r="J23" s="30" t="str">
        <x:v>Possible collection</x:v>
      </x:c>
      <x:c r="K23" s="30" t="str">
        <x:v>Operating</x:v>
      </x:c>
      <x:c r="L23" s="22" t="str">
        <x:v>Pending source matching</x:v>
      </x:c>
      <x:c r="M23" s="30" t="str">
        <x:v>None</x:v>
      </x:c>
      <x:c r="N23" s="47" t="str">
        <x:v>April2025.xlsx</x:v>
      </x:c>
    </x:row>
    <x:row r="24">
      <x:c r="A24" s="46" t="n">
        <x:v>45753</x:v>
      </x:c>
      <x:c r="B24" s="30" t="str">
        <x:v>Apr-25</x:v>
      </x:c>
      <x:c r="C24" s="30" t="str">
        <x:v>Credit</x:v>
      </x:c>
      <x:c r="D24" s="19" t="str">
        <x:v>NEFT CR-YESB0000001-VIVISH TECHNOLOGIES PVT LTD-MONT VERT BIARRITZ CO OP HOUSING SO-YESBN52025040700693425</x:v>
      </x:c>
      <x:c r="E24" s="30" t="str">
        <x:v>YESBN52025040700693425</x:v>
      </x:c>
      <x:c r="F24" s="30" t="str">
        <x:v>07/04/25</x:v>
      </x:c>
      <x:c r="G24" s="42"/>
      <x:c r="H24" s="42" t="n">
        <x:v>26500</x:v>
      </x:c>
      <x:c r="I24" s="42" t="n">
        <x:v>375652.52</x:v>
      </x:c>
      <x:c r="J24" s="30" t="str">
        <x:v>Possible collection</x:v>
      </x:c>
      <x:c r="K24" s="30" t="str">
        <x:v>Operating</x:v>
      </x:c>
      <x:c r="L24" s="22" t="str">
        <x:v>Pending source matching</x:v>
      </x:c>
      <x:c r="M24" s="30" t="str">
        <x:v>None</x:v>
      </x:c>
      <x:c r="N24" s="47" t="str">
        <x:v>April2025.xlsx</x:v>
      </x:c>
    </x:row>
    <x:row r="25">
      <x:c r="A25" s="46" t="n">
        <x:v>45753</x:v>
      </x:c>
      <x:c r="B25" s="30" t="str">
        <x:v>Apr-25</x:v>
      </x:c>
      <x:c r="C25" s="30" t="str">
        <x:v>Credit</x:v>
      </x:c>
      <x:c r="D25" s="19" t="str">
        <x:v>NEFT CR-YESB0000001-VIVISH TECHNOLOGIES PVT LTD-MONT VERT BIARRITZ CO OP HOUSING SO-YESBN52025040700708461</x:v>
      </x:c>
      <x:c r="E25" s="30" t="str">
        <x:v>YESBN52025040700708461</x:v>
      </x:c>
      <x:c r="F25" s="30" t="str">
        <x:v>07/04/25</x:v>
      </x:c>
      <x:c r="G25" s="42"/>
      <x:c r="H25" s="42" t="n">
        <x:v>24500</x:v>
      </x:c>
      <x:c r="I25" s="42" t="n">
        <x:v>400152.52</x:v>
      </x:c>
      <x:c r="J25" s="30" t="str">
        <x:v>Possible collection</x:v>
      </x:c>
      <x:c r="K25" s="30" t="str">
        <x:v>Operating</x:v>
      </x:c>
      <x:c r="L25" s="22" t="str">
        <x:v>Pending source matching</x:v>
      </x:c>
      <x:c r="M25" s="30" t="str">
        <x:v>None</x:v>
      </x:c>
      <x:c r="N25" s="47" t="str">
        <x:v>April2025.xlsx</x:v>
      </x:c>
    </x:row>
    <x:row r="26">
      <x:c r="A26" s="46" t="n">
        <x:v>45754</x:v>
      </x:c>
      <x:c r="B26" s="30" t="str">
        <x:v>Apr-25</x:v>
      </x:c>
      <x:c r="C26" s="30" t="str">
        <x:v>Debit</x:v>
      </x:c>
      <x:c r="D26" s="19" t="str">
        <x:v>VYANKATI MADHUKAR KORDE - CHQ PAID - PASHAN - PUN</x:v>
      </x:c>
      <x:c r="E26" s="30" t="str">
        <x:v>0000000000000742</x:v>
      </x:c>
      <x:c r="F26" s="30" t="str">
        <x:v>08/04/25</x:v>
      </x:c>
      <x:c r="G26" s="42" t="n">
        <x:v>3900</x:v>
      </x:c>
      <x:c r="H26" s="42"/>
      <x:c r="I26" s="42" t="n">
        <x:v>396252.52</x:v>
      </x:c>
      <x:c r="J26" s="30" t="str">
        <x:v>Possible vendor / operating payment</x:v>
      </x:c>
      <x:c r="K26" s="30" t="str">
        <x:v>Operating</x:v>
      </x:c>
      <x:c r="L26" s="22" t="str">
        <x:v>Pending source matching</x:v>
      </x:c>
      <x:c r="M26" s="30" t="str">
        <x:v>None</x:v>
      </x:c>
      <x:c r="N26" s="47" t="str">
        <x:v>April2025.xlsx</x:v>
      </x:c>
    </x:row>
    <x:row r="27">
      <x:c r="A27" s="46" t="n">
        <x:v>45754</x:v>
      </x:c>
      <x:c r="B27" s="30" t="str">
        <x:v>Apr-25</x:v>
      </x:c>
      <x:c r="C27" s="30" t="str">
        <x:v>Credit</x:v>
      </x:c>
      <x:c r="D27" s="19" t="str">
        <x:v>NEFT CR-YESB0000001-VIVISH TECHNOLOGIES PVT LTD-MONT VERT BIARRITZ CO OP HOUSING SO-YESBN52025040801066441</x:v>
      </x:c>
      <x:c r="E27" s="30" t="str">
        <x:v>YESBN52025040801066441</x:v>
      </x:c>
      <x:c r="F27" s="30" t="str">
        <x:v>08/04/25</x:v>
      </x:c>
      <x:c r="G27" s="42"/>
      <x:c r="H27" s="42" t="n">
        <x:v>26500</x:v>
      </x:c>
      <x:c r="I27" s="42" t="n">
        <x:v>422752.52</x:v>
      </x:c>
      <x:c r="J27" s="30" t="str">
        <x:v>Possible collection</x:v>
      </x:c>
      <x:c r="K27" s="30" t="str">
        <x:v>Operating</x:v>
      </x:c>
      <x:c r="L27" s="22" t="str">
        <x:v>Pending source matching</x:v>
      </x:c>
      <x:c r="M27" s="30" t="str">
        <x:v>None</x:v>
      </x:c>
      <x:c r="N27" s="47" t="str">
        <x:v>April2025.xlsx</x:v>
      </x:c>
    </x:row>
    <x:row r="28">
      <x:c r="A28" s="46" t="n">
        <x:v>45755</x:v>
      </x:c>
      <x:c r="B28" s="30" t="str">
        <x:v>Apr-25</x:v>
      </x:c>
      <x:c r="C28" s="30" t="str">
        <x:v>Credit</x:v>
      </x:c>
      <x:c r="D28" s="19" t="str">
        <x:v>NEFT CR-YESB0000001-VIVISH TECHNOLOGIES PVT LTD-MONT VERT BIARRITZ CO OP HOUSING SO-YESBN52025040901428604</x:v>
      </x:c>
      <x:c r="E28" s="30" t="str">
        <x:v>YESBN52025040901428604</x:v>
      </x:c>
      <x:c r="F28" s="30" t="str">
        <x:v>09/04/25</x:v>
      </x:c>
      <x:c r="G28" s="42"/>
      <x:c r="H28" s="42" t="n">
        <x:v>26500</x:v>
      </x:c>
      <x:c r="I28" s="42" t="n">
        <x:v>449252.52</x:v>
      </x:c>
      <x:c r="J28" s="30" t="str">
        <x:v>Possible collection</x:v>
      </x:c>
      <x:c r="K28" s="30" t="str">
        <x:v>Operating</x:v>
      </x:c>
      <x:c r="L28" s="22" t="str">
        <x:v>Pending source matching</x:v>
      </x:c>
      <x:c r="M28" s="30" t="str">
        <x:v>None</x:v>
      </x:c>
      <x:c r="N28" s="47" t="str">
        <x:v>April2025.xlsx</x:v>
      </x:c>
    </x:row>
    <x:row r="29">
      <x:c r="A29" s="46" t="n">
        <x:v>45760</x:v>
      </x:c>
      <x:c r="B29" s="30" t="str">
        <x:v>Apr-25</x:v>
      </x:c>
      <x:c r="C29" s="30" t="str">
        <x:v>Debit</x:v>
      </x:c>
      <x:c r="D29" s="19" t="str">
        <x:v>CHQ PAID-MICR CTS-MU-SWARAJ ENTERPRISES</x:v>
      </x:c>
      <x:c r="E29" s="30" t="str">
        <x:v>0000000000000740</x:v>
      </x:c>
      <x:c r="F29" s="30" t="str">
        <x:v>14/04/25</x:v>
      </x:c>
      <x:c r="G29" s="42" t="n">
        <x:v>9000</x:v>
      </x:c>
      <x:c r="H29" s="42"/>
      <x:c r="I29" s="42" t="n">
        <x:v>440252.52</x:v>
      </x:c>
      <x:c r="J29" s="30" t="str">
        <x:v>Possible vendor / operating payment</x:v>
      </x:c>
      <x:c r="K29" s="30" t="str">
        <x:v>Operating</x:v>
      </x:c>
      <x:c r="L29" s="22" t="str">
        <x:v>Pending source matching</x:v>
      </x:c>
      <x:c r="M29" s="30" t="str">
        <x:v>None</x:v>
      </x:c>
      <x:c r="N29" s="47" t="str">
        <x:v>April2025.xlsx</x:v>
      </x:c>
    </x:row>
    <x:row r="30">
      <x:c r="A30" s="46" t="n">
        <x:v>45760</x:v>
      </x:c>
      <x:c r="B30" s="30" t="str">
        <x:v>Apr-25</x:v>
      </x:c>
      <x:c r="C30" s="30" t="str">
        <x:v>Debit</x:v>
      </x:c>
      <x:c r="D30" s="19" t="str">
        <x:v>7968231515615/SBIEPYHIGHTENSIONHTP</x:v>
      </x:c>
      <x:c r="E30" s="30" t="str">
        <x:v>0000251047646199</x:v>
      </x:c>
      <x:c r="F30" s="30" t="str">
        <x:v>14/04/25</x:v>
      </x:c>
      <x:c r="G30" s="42" t="n">
        <x:v>16220</x:v>
      </x:c>
      <x:c r="H30" s="42"/>
      <x:c r="I30" s="42" t="n">
        <x:v>424032.52</x:v>
      </x:c>
      <x:c r="J30" s="30" t="str">
        <x:v>Possible vendor / operating payment</x:v>
      </x:c>
      <x:c r="K30" s="30" t="str">
        <x:v>Operating</x:v>
      </x:c>
      <x:c r="L30" s="22" t="str">
        <x:v>Pending source matching</x:v>
      </x:c>
      <x:c r="M30" s="30" t="str">
        <x:v>None</x:v>
      </x:c>
      <x:c r="N30" s="47" t="str">
        <x:v>April2025.xlsx</x:v>
      </x:c>
    </x:row>
    <x:row r="31">
      <x:c r="A31" s="46" t="n">
        <x:v>45760</x:v>
      </x:c>
      <x:c r="B31" s="30" t="str">
        <x:v>Apr-25</x:v>
      </x:c>
      <x:c r="C31" s="30" t="str">
        <x:v>Debit</x:v>
      </x:c>
      <x:c r="D31" s="19" t="str">
        <x:v>1583160080735/SBIEPYHIGHTENSIONHTP</x:v>
      </x:c>
      <x:c r="E31" s="30" t="str">
        <x:v>0000251047652515</x:v>
      </x:c>
      <x:c r="F31" s="30" t="str">
        <x:v>14/04/25</x:v>
      </x:c>
      <x:c r="G31" s="42" t="n">
        <x:v>4410</x:v>
      </x:c>
      <x:c r="H31" s="42"/>
      <x:c r="I31" s="42" t="n">
        <x:v>419622.52</x:v>
      </x:c>
      <x:c r="J31" s="30" t="str">
        <x:v>Possible vendor / operating payment</x:v>
      </x:c>
      <x:c r="K31" s="30" t="str">
        <x:v>Operating</x:v>
      </x:c>
      <x:c r="L31" s="22" t="str">
        <x:v>Pending source matching</x:v>
      </x:c>
      <x:c r="M31" s="30" t="str">
        <x:v>None</x:v>
      </x:c>
      <x:c r="N31" s="47" t="str">
        <x:v>April2025.xlsx</x:v>
      </x:c>
    </x:row>
    <x:row r="32">
      <x:c r="A32" s="46" t="n">
        <x:v>45760</x:v>
      </x:c>
      <x:c r="B32" s="30" t="str">
        <x:v>Apr-25</x:v>
      </x:c>
      <x:c r="C32" s="30" t="str">
        <x:v>Debit</x:v>
      </x:c>
      <x:c r="D32" s="19" t="str">
        <x:v>8048012995835/SBIEPYHIGHTENSIONHTP</x:v>
      </x:c>
      <x:c r="E32" s="30" t="str">
        <x:v>0000251047652986</x:v>
      </x:c>
      <x:c r="F32" s="30" t="str">
        <x:v>14/04/25</x:v>
      </x:c>
      <x:c r="G32" s="42" t="n">
        <x:v>6050</x:v>
      </x:c>
      <x:c r="H32" s="42"/>
      <x:c r="I32" s="42" t="n">
        <x:v>413572.52</x:v>
      </x:c>
      <x:c r="J32" s="30" t="str">
        <x:v>Possible vendor / operating payment</x:v>
      </x:c>
      <x:c r="K32" s="30" t="str">
        <x:v>Operating</x:v>
      </x:c>
      <x:c r="L32" s="22" t="str">
        <x:v>Pending source matching</x:v>
      </x:c>
      <x:c r="M32" s="30" t="str">
        <x:v>None</x:v>
      </x:c>
      <x:c r="N32" s="47" t="str">
        <x:v>April2025.xlsx</x:v>
      </x:c>
    </x:row>
    <x:row r="33">
      <x:c r="A33" s="46" t="n">
        <x:v>45760</x:v>
      </x:c>
      <x:c r="B33" s="30" t="str">
        <x:v>Apr-25</x:v>
      </x:c>
      <x:c r="C33" s="30" t="str">
        <x:v>Debit</x:v>
      </x:c>
      <x:c r="D33" s="19" t="str">
        <x:v>5777014652515/SBIEPYHIGHTENSIONHTP</x:v>
      </x:c>
      <x:c r="E33" s="30" t="str">
        <x:v>0000251047654628</x:v>
      </x:c>
      <x:c r="F33" s="30" t="str">
        <x:v>14/04/25</x:v>
      </x:c>
      <x:c r="G33" s="42" t="n">
        <x:v>46620</x:v>
      </x:c>
      <x:c r="H33" s="42"/>
      <x:c r="I33" s="42" t="n">
        <x:v>366952.52</x:v>
      </x:c>
      <x:c r="J33" s="30" t="str">
        <x:v>Possible vendor / operating payment</x:v>
      </x:c>
      <x:c r="K33" s="30" t="str">
        <x:v>Operating</x:v>
      </x:c>
      <x:c r="L33" s="22" t="str">
        <x:v>Pending source matching</x:v>
      </x:c>
      <x:c r="M33" s="30" t="str">
        <x:v>None</x:v>
      </x:c>
      <x:c r="N33" s="47" t="str">
        <x:v>April2025.xlsx</x:v>
      </x:c>
    </x:row>
    <x:row r="34">
      <x:c r="A34" s="46" t="n">
        <x:v>45760</x:v>
      </x:c>
      <x:c r="B34" s="30" t="str">
        <x:v>Apr-25</x:v>
      </x:c>
      <x:c r="C34" s="30" t="str">
        <x:v>Debit</x:v>
      </x:c>
      <x:c r="D34" s="19" t="str">
        <x:v>5394341814215/SBIEPYHIGHTENSIONHTP</x:v>
      </x:c>
      <x:c r="E34" s="30" t="str">
        <x:v>0000251047655641</x:v>
      </x:c>
      <x:c r="F34" s="30" t="str">
        <x:v>14/04/25</x:v>
      </x:c>
      <x:c r="G34" s="42" t="n">
        <x:v>5030</x:v>
      </x:c>
      <x:c r="H34" s="42"/>
      <x:c r="I34" s="42" t="n">
        <x:v>361922.52</x:v>
      </x:c>
      <x:c r="J34" s="30" t="str">
        <x:v>Possible vendor / operating payment</x:v>
      </x:c>
      <x:c r="K34" s="30" t="str">
        <x:v>Operating</x:v>
      </x:c>
      <x:c r="L34" s="22" t="str">
        <x:v>Pending source matching</x:v>
      </x:c>
      <x:c r="M34" s="30" t="str">
        <x:v>None</x:v>
      </x:c>
      <x:c r="N34" s="47" t="str">
        <x:v>April2025.xlsx</x:v>
      </x:c>
    </x:row>
    <x:row r="35">
      <x:c r="A35" s="46" t="n">
        <x:v>45760</x:v>
      </x:c>
      <x:c r="B35" s="30" t="str">
        <x:v>Apr-25</x:v>
      </x:c>
      <x:c r="C35" s="30" t="str">
        <x:v>Debit</x:v>
      </x:c>
      <x:c r="D35" s="19" t="str">
        <x:v>6690171919319/SBIEPYHIGHTENSIONHTP</x:v>
      </x:c>
      <x:c r="E35" s="30" t="str">
        <x:v>0000251047655673</x:v>
      </x:c>
      <x:c r="F35" s="30" t="str">
        <x:v>14/04/25</x:v>
      </x:c>
      <x:c r="G35" s="42" t="n">
        <x:v>8730</x:v>
      </x:c>
      <x:c r="H35" s="42"/>
      <x:c r="I35" s="42" t="n">
        <x:v>353192.52</x:v>
      </x:c>
      <x:c r="J35" s="30" t="str">
        <x:v>Possible vendor / operating payment</x:v>
      </x:c>
      <x:c r="K35" s="30" t="str">
        <x:v>Operating</x:v>
      </x:c>
      <x:c r="L35" s="22" t="str">
        <x:v>Pending source matching</x:v>
      </x:c>
      <x:c r="M35" s="30" t="str">
        <x:v>None</x:v>
      </x:c>
      <x:c r="N35" s="47" t="str">
        <x:v>April2025.xlsx</x:v>
      </x:c>
    </x:row>
    <x:row r="36">
      <x:c r="A36" s="46" t="n">
        <x:v>45760</x:v>
      </x:c>
      <x:c r="B36" s="30" t="str">
        <x:v>Apr-25</x:v>
      </x:c>
      <x:c r="C36" s="30" t="str">
        <x:v>Debit</x:v>
      </x:c>
      <x:c r="D36" s="19" t="str">
        <x:v>8459380057119/SBIEPYHIGHTENSIONHTP</x:v>
      </x:c>
      <x:c r="E36" s="30" t="str">
        <x:v>0000251047656060</x:v>
      </x:c>
      <x:c r="F36" s="30" t="str">
        <x:v>14/04/25</x:v>
      </x:c>
      <x:c r="G36" s="42" t="n">
        <x:v>5310</x:v>
      </x:c>
      <x:c r="H36" s="42"/>
      <x:c r="I36" s="42" t="n">
        <x:v>347882.52</x:v>
      </x:c>
      <x:c r="J36" s="30" t="str">
        <x:v>Possible vendor / operating payment</x:v>
      </x:c>
      <x:c r="K36" s="30" t="str">
        <x:v>Operating</x:v>
      </x:c>
      <x:c r="L36" s="22" t="str">
        <x:v>Pending source matching</x:v>
      </x:c>
      <x:c r="M36" s="30" t="str">
        <x:v>None</x:v>
      </x:c>
      <x:c r="N36" s="47" t="str">
        <x:v>April2025.xlsx</x:v>
      </x:c>
    </x:row>
    <x:row r="37">
      <x:c r="A37" s="46" t="n">
        <x:v>45761</x:v>
      </x:c>
      <x:c r="B37" s="30" t="str">
        <x:v>Apr-25</x:v>
      </x:c>
      <x:c r="C37" s="30" t="str">
        <x:v>Debit</x:v>
      </x:c>
      <x:c r="D37" s="19" t="str">
        <x:v>FT - DR - 50200082477018 - SANGARSH ENTERPRISES</x:v>
      </x:c>
      <x:c r="E37" s="30" t="str">
        <x:v>0000000000000743</x:v>
      </x:c>
      <x:c r="F37" s="30" t="str">
        <x:v>15/04/25</x:v>
      </x:c>
      <x:c r="G37" s="42" t="n">
        <x:v>55044</x:v>
      </x:c>
      <x:c r="H37" s="42"/>
      <x:c r="I37" s="42" t="n">
        <x:v>292838.52</x:v>
      </x:c>
      <x:c r="J37" s="30" t="str">
        <x:v>Possible vendor / operating payment</x:v>
      </x:c>
      <x:c r="K37" s="30" t="str">
        <x:v>Operating</x:v>
      </x:c>
      <x:c r="L37" s="22" t="str">
        <x:v>Pending source matching</x:v>
      </x:c>
      <x:c r="M37" s="30" t="str">
        <x:v>None</x:v>
      </x:c>
      <x:c r="N37" s="47" t="str">
        <x:v>April2025.xlsx</x:v>
      </x:c>
    </x:row>
    <x:row r="38">
      <x:c r="A38" s="46" t="n">
        <x:v>45761</x:v>
      </x:c>
      <x:c r="B38" s="30" t="str">
        <x:v>Apr-25</x:v>
      </x:c>
      <x:c r="C38" s="30" t="str">
        <x:v>Credit</x:v>
      </x:c>
      <x:c r="D38" s="19" t="str">
        <x:v>NEFT CR-YESB0000001-VIVISH TECHNOLOGIES PVT LTD-MONT VERT BIARRITZ CO OP HOUSING SO-YESBN52025041503404071</x:v>
      </x:c>
      <x:c r="E38" s="30" t="str">
        <x:v>YESBN52025041503404071</x:v>
      </x:c>
      <x:c r="F38" s="30" t="str">
        <x:v>15/04/25</x:v>
      </x:c>
      <x:c r="G38" s="42"/>
      <x:c r="H38" s="42" t="n">
        <x:v>24500</x:v>
      </x:c>
      <x:c r="I38" s="42" t="n">
        <x:v>317338.52</x:v>
      </x:c>
      <x:c r="J38" s="30" t="str">
        <x:v>Possible collection</x:v>
      </x:c>
      <x:c r="K38" s="30" t="str">
        <x:v>Operating</x:v>
      </x:c>
      <x:c r="L38" s="22" t="str">
        <x:v>Pending source matching</x:v>
      </x:c>
      <x:c r="M38" s="30" t="str">
        <x:v>None</x:v>
      </x:c>
      <x:c r="N38" s="47" t="str">
        <x:v>April2025.xlsx</x:v>
      </x:c>
    </x:row>
    <x:row r="39">
      <x:c r="A39" s="46" t="n">
        <x:v>45761</x:v>
      </x:c>
      <x:c r="B39" s="30" t="str">
        <x:v>Apr-25</x:v>
      </x:c>
      <x:c r="C39" s="30" t="str">
        <x:v>Credit</x:v>
      </x:c>
      <x:c r="D39" s="19" t="str">
        <x:v>NEFT CR-YESB0000001-VIVISH TECHNOLOGIES PVT LTD-MONT VERT BIARRITZ CO OP HOUSING SO-YESBN52025041503406588</x:v>
      </x:c>
      <x:c r="E39" s="30" t="str">
        <x:v>YESBN52025041503406588</x:v>
      </x:c>
      <x:c r="F39" s="30" t="str">
        <x:v>15/04/25</x:v>
      </x:c>
      <x:c r="G39" s="42"/>
      <x:c r="H39" s="42" t="n">
        <x:v>24500</x:v>
      </x:c>
      <x:c r="I39" s="42" t="n">
        <x:v>341838.52</x:v>
      </x:c>
      <x:c r="J39" s="30" t="str">
        <x:v>Possible collection</x:v>
      </x:c>
      <x:c r="K39" s="30" t="str">
        <x:v>Operating</x:v>
      </x:c>
      <x:c r="L39" s="22" t="str">
        <x:v>Pending source matching</x:v>
      </x:c>
      <x:c r="M39" s="30" t="str">
        <x:v>None</x:v>
      </x:c>
      <x:c r="N39" s="47" t="str">
        <x:v>April2025.xlsx</x:v>
      </x:c>
    </x:row>
    <x:row r="40">
      <x:c r="A40" s="46" t="n">
        <x:v>45761</x:v>
      </x:c>
      <x:c r="B40" s="30" t="str">
        <x:v>Apr-25</x:v>
      </x:c>
      <x:c r="C40" s="30" t="str">
        <x:v>Credit</x:v>
      </x:c>
      <x:c r="D40" s="19" t="str">
        <x:v>NEFT CR-YESB0000001-VIVISH TECHNOLOGIES PVT LTD-MONT VERT BIARRITZ CO OP HOUSING SO-YESBN52025041503436452</x:v>
      </x:c>
      <x:c r="E40" s="30" t="str">
        <x:v>YESBN52025041503436452</x:v>
      </x:c>
      <x:c r="F40" s="30" t="str">
        <x:v>15/04/25</x:v>
      </x:c>
      <x:c r="G40" s="42"/>
      <x:c r="H40" s="42" t="n">
        <x:v>26500</x:v>
      </x:c>
      <x:c r="I40" s="42" t="n">
        <x:v>368338.52</x:v>
      </x:c>
      <x:c r="J40" s="30" t="str">
        <x:v>Possible collection</x:v>
      </x:c>
      <x:c r="K40" s="30" t="str">
        <x:v>Operating</x:v>
      </x:c>
      <x:c r="L40" s="22" t="str">
        <x:v>Pending source matching</x:v>
      </x:c>
      <x:c r="M40" s="30" t="str">
        <x:v>None</x:v>
      </x:c>
      <x:c r="N40" s="47" t="str">
        <x:v>April2025.xlsx</x:v>
      </x:c>
    </x:row>
    <x:row r="41">
      <x:c r="A41" s="46" t="n">
        <x:v>45761</x:v>
      </x:c>
      <x:c r="B41" s="30" t="str">
        <x:v>Apr-25</x:v>
      </x:c>
      <x:c r="C41" s="30" t="str">
        <x:v>Credit</x:v>
      </x:c>
      <x:c r="D41" s="19" t="str">
        <x:v>NEFT CR-YESB0000001-VIVISH TECHNOLOGIES PVT LTD-MONT VERT BIARRITZ CO OP HOUSING SO-YESBN52025041503437343</x:v>
      </x:c>
      <x:c r="E41" s="30" t="str">
        <x:v>YESBN52025041503437343</x:v>
      </x:c>
      <x:c r="F41" s="30" t="str">
        <x:v>15/04/25</x:v>
      </x:c>
      <x:c r="G41" s="42"/>
      <x:c r="H41" s="42" t="n">
        <x:v>24500</x:v>
      </x:c>
      <x:c r="I41" s="42" t="n">
        <x:v>392838.52</x:v>
      </x:c>
      <x:c r="J41" s="30" t="str">
        <x:v>Possible collection</x:v>
      </x:c>
      <x:c r="K41" s="30" t="str">
        <x:v>Operating</x:v>
      </x:c>
      <x:c r="L41" s="22" t="str">
        <x:v>Pending source matching</x:v>
      </x:c>
      <x:c r="M41" s="30" t="str">
        <x:v>None</x:v>
      </x:c>
      <x:c r="N41" s="47" t="str">
        <x:v>April2025.xlsx</x:v>
      </x:c>
    </x:row>
    <x:row r="42">
      <x:c r="A42" s="46" t="n">
        <x:v>45761</x:v>
      </x:c>
      <x:c r="B42" s="30" t="str">
        <x:v>Apr-25</x:v>
      </x:c>
      <x:c r="C42" s="30" t="str">
        <x:v>Credit</x:v>
      </x:c>
      <x:c r="D42" s="19" t="str">
        <x:v>NEFT CR-YESB0000001-VIVISH TECHNOLOGIES PVT LTD-MONT VERT BIARRITZ CO OP HOUSING SO-YESBN52025041503443409</x:v>
      </x:c>
      <x:c r="E42" s="30" t="str">
        <x:v>YESBN52025041503443409</x:v>
      </x:c>
      <x:c r="F42" s="30" t="str">
        <x:v>15/04/25</x:v>
      </x:c>
      <x:c r="G42" s="42"/>
      <x:c r="H42" s="42" t="n">
        <x:v>26500</x:v>
      </x:c>
      <x:c r="I42" s="42" t="n">
        <x:v>419338.52</x:v>
      </x:c>
      <x:c r="J42" s="30" t="str">
        <x:v>Possible collection</x:v>
      </x:c>
      <x:c r="K42" s="30" t="str">
        <x:v>Operating</x:v>
      </x:c>
      <x:c r="L42" s="22" t="str">
        <x:v>Pending source matching</x:v>
      </x:c>
      <x:c r="M42" s="30" t="str">
        <x:v>None</x:v>
      </x:c>
      <x:c r="N42" s="47" t="str">
        <x:v>April2025.xlsx</x:v>
      </x:c>
    </x:row>
    <x:row r="43">
      <x:c r="A43" s="46" t="n">
        <x:v>45761</x:v>
      </x:c>
      <x:c r="B43" s="30" t="str">
        <x:v>Apr-25</x:v>
      </x:c>
      <x:c r="C43" s="30" t="str">
        <x:v>Credit</x:v>
      </x:c>
      <x:c r="D43" s="19" t="str">
        <x:v>NEFT CR-YESB0000001-VIVISH TECHNOLOGIES PVT LTD-MONT VERT BIARRITZ CO OP HOUSING SO-YESBN52025041503442455</x:v>
      </x:c>
      <x:c r="E43" s="30" t="str">
        <x:v>YESBN52025041503442455</x:v>
      </x:c>
      <x:c r="F43" s="30" t="str">
        <x:v>15/04/25</x:v>
      </x:c>
      <x:c r="G43" s="42"/>
      <x:c r="H43" s="42" t="n">
        <x:v>26500</x:v>
      </x:c>
      <x:c r="I43" s="42" t="n">
        <x:v>445838.52</x:v>
      </x:c>
      <x:c r="J43" s="30" t="str">
        <x:v>Possible collection</x:v>
      </x:c>
      <x:c r="K43" s="30" t="str">
        <x:v>Operating</x:v>
      </x:c>
      <x:c r="L43" s="22" t="str">
        <x:v>Pending source matching</x:v>
      </x:c>
      <x:c r="M43" s="30" t="str">
        <x:v>None</x:v>
      </x:c>
      <x:c r="N43" s="47" t="str">
        <x:v>April2025.xlsx</x:v>
      </x:c>
    </x:row>
    <x:row r="44">
      <x:c r="A44" s="46" t="n">
        <x:v>45763</x:v>
      </x:c>
      <x:c r="B44" s="30" t="str">
        <x:v>Apr-25</x:v>
      </x:c>
      <x:c r="C44" s="30" t="str">
        <x:v>Debit</x:v>
      </x:c>
      <x:c r="D44" s="19" t="str">
        <x:v>CHQ PAID-MICR CTS-MU-SOHAM ENTERPRISES</x:v>
      </x:c>
      <x:c r="E44" s="30" t="str">
        <x:v>0000000000000738</x:v>
      </x:c>
      <x:c r="F44" s="30" t="str">
        <x:v>17/04/25</x:v>
      </x:c>
      <x:c r="G44" s="42" t="n">
        <x:v>5000</x:v>
      </x:c>
      <x:c r="H44" s="42"/>
      <x:c r="I44" s="42" t="n">
        <x:v>440838.52</x:v>
      </x:c>
      <x:c r="J44" s="30" t="str">
        <x:v>Possible vendor / operating payment</x:v>
      </x:c>
      <x:c r="K44" s="30" t="str">
        <x:v>Operating</x:v>
      </x:c>
      <x:c r="L44" s="22" t="str">
        <x:v>Pending source matching</x:v>
      </x:c>
      <x:c r="M44" s="30" t="str">
        <x:v>None</x:v>
      </x:c>
      <x:c r="N44" s="47" t="str">
        <x:v>April2025.xlsx</x:v>
      </x:c>
    </x:row>
    <x:row r="45">
      <x:c r="A45" s="46" t="n">
        <x:v>45764</x:v>
      </x:c>
      <x:c r="B45" s="30" t="str">
        <x:v>Apr-25</x:v>
      </x:c>
      <x:c r="C45" s="30" t="str">
        <x:v>Debit</x:v>
      </x:c>
      <x:c r="D45" s="19" t="str">
        <x:v>FD THROUGH NET-50301146438020:MONT VERT BIARRITZ CO OP HOUSING SOC LTD</x:v>
      </x:c>
      <x:c r="E45" s="30" t="str">
        <x:v>IB18164116478764</x:v>
      </x:c>
      <x:c r="F45" s="30" t="str">
        <x:v>18/04/25</x:v>
      </x:c>
      <x:c r="G45" s="42" t="n">
        <x:v>200000</x:v>
      </x:c>
      <x:c r="H45" s="42"/>
      <x:c r="I45" s="42" t="n">
        <x:v>240838.52</x:v>
      </x:c>
      <x:c r="J45" s="30" t="str">
        <x:v>FD investment</x:v>
      </x:c>
      <x:c r="K45" s="30" t="str">
        <x:v>Investment</x:v>
      </x:c>
      <x:c r="L45" s="22" t="str">
        <x:v>Pending source matching</x:v>
      </x:c>
      <x:c r="M45" s="30" t="str">
        <x:v>None</x:v>
      </x:c>
      <x:c r="N45" s="47" t="str">
        <x:v>April2025.xlsx</x:v>
      </x:c>
    </x:row>
    <x:row r="46">
      <x:c r="A46" s="46" t="n">
        <x:v>45764</x:v>
      </x:c>
      <x:c r="B46" s="30" t="str">
        <x:v>Apr-25</x:v>
      </x:c>
      <x:c r="C46" s="30" t="str">
        <x:v>Debit</x:v>
      </x:c>
      <x:c r="D46" s="19" t="str">
        <x:v>FD THROUGH NET-50301146438375:MONT VERT BIARRITZ CO OP HOUSING SOC LTD</x:v>
      </x:c>
      <x:c r="E46" s="30" t="str">
        <x:v>IB18164234800148</x:v>
      </x:c>
      <x:c r="F46" s="30" t="str">
        <x:v>18/04/25</x:v>
      </x:c>
      <x:c r="G46" s="42" t="n">
        <x:v>200000</x:v>
      </x:c>
      <x:c r="H46" s="42"/>
      <x:c r="I46" s="42" t="n">
        <x:v>40838.52</x:v>
      </x:c>
      <x:c r="J46" s="30" t="str">
        <x:v>FD investment</x:v>
      </x:c>
      <x:c r="K46" s="30" t="str">
        <x:v>Investment</x:v>
      </x:c>
      <x:c r="L46" s="22" t="str">
        <x:v>Pending source matching</x:v>
      </x:c>
      <x:c r="M46" s="30" t="str">
        <x:v>None</x:v>
      </x:c>
      <x:c r="N46" s="47" t="str">
        <x:v>April2025.xlsx</x:v>
      </x:c>
    </x:row>
    <x:row r="47">
      <x:c r="A47" s="46" t="n">
        <x:v>45766</x:v>
      </x:c>
      <x:c r="B47" s="30" t="str">
        <x:v>Apr-25</x:v>
      </x:c>
      <x:c r="C47" s="30" t="str">
        <x:v>Debit</x:v>
      </x:c>
      <x:c r="D47" s="19" t="str">
        <x:v>9156021819555/SBIEPYHIGHTENSIONHTP</x:v>
      </x:c>
      <x:c r="E47" s="30" t="str">
        <x:v>0000251109907505</x:v>
      </x:c>
      <x:c r="F47" s="30" t="str">
        <x:v>20/04/25</x:v>
      </x:c>
      <x:c r="G47" s="42" t="n">
        <x:v>1730</x:v>
      </x:c>
      <x:c r="H47" s="42"/>
      <x:c r="I47" s="42" t="n">
        <x:v>39108.52</x:v>
      </x:c>
      <x:c r="J47" s="30" t="str">
        <x:v>Possible vendor / operating payment</x:v>
      </x:c>
      <x:c r="K47" s="30" t="str">
        <x:v>Operating</x:v>
      </x:c>
      <x:c r="L47" s="22" t="str">
        <x:v>Pending source matching</x:v>
      </x:c>
      <x:c r="M47" s="30" t="str">
        <x:v>None</x:v>
      </x:c>
      <x:c r="N47" s="47" t="str">
        <x:v>April2025.xlsx</x:v>
      </x:c>
    </x:row>
    <x:row r="48">
      <x:c r="A48" s="46" t="n">
        <x:v>45766</x:v>
      </x:c>
      <x:c r="B48" s="30" t="str">
        <x:v>Apr-25</x:v>
      </x:c>
      <x:c r="C48" s="30" t="str">
        <x:v>Debit</x:v>
      </x:c>
      <x:c r="D48" s="19" t="str">
        <x:v>3590938594235/SBIEPYHIGHTENSIONHTP</x:v>
      </x:c>
      <x:c r="E48" s="30" t="str">
        <x:v>0000251109906698</x:v>
      </x:c>
      <x:c r="F48" s="30" t="str">
        <x:v>20/04/25</x:v>
      </x:c>
      <x:c r="G48" s="42" t="n">
        <x:v>2360</x:v>
      </x:c>
      <x:c r="H48" s="42"/>
      <x:c r="I48" s="42" t="n">
        <x:v>36748.52</x:v>
      </x:c>
      <x:c r="J48" s="30" t="str">
        <x:v>Possible vendor / operating payment</x:v>
      </x:c>
      <x:c r="K48" s="30" t="str">
        <x:v>Operating</x:v>
      </x:c>
      <x:c r="L48" s="22" t="str">
        <x:v>Pending source matching</x:v>
      </x:c>
      <x:c r="M48" s="30" t="str">
        <x:v>None</x:v>
      </x:c>
      <x:c r="N48" s="47" t="str">
        <x:v>April2025.xlsx</x:v>
      </x:c>
    </x:row>
    <x:row r="49">
      <x:c r="A49" s="46" t="n">
        <x:v>45766</x:v>
      </x:c>
      <x:c r="B49" s="30" t="str">
        <x:v>Apr-25</x:v>
      </x:c>
      <x:c r="C49" s="30" t="str">
        <x:v>Debit</x:v>
      </x:c>
      <x:c r="D49" s="19" t="str">
        <x:v>5106035932615/SBIEPYHIGHTENSIONHTP</x:v>
      </x:c>
      <x:c r="E49" s="30" t="str">
        <x:v>0000251109910319</x:v>
      </x:c>
      <x:c r="F49" s="30" t="str">
        <x:v>20/04/25</x:v>
      </x:c>
      <x:c r="G49" s="42" t="n">
        <x:v>130</x:v>
      </x:c>
      <x:c r="H49" s="42"/>
      <x:c r="I49" s="42" t="n">
        <x:v>36618.52</x:v>
      </x:c>
      <x:c r="J49" s="30" t="str">
        <x:v>Possible vendor / operating payment</x:v>
      </x:c>
      <x:c r="K49" s="30" t="str">
        <x:v>Operating</x:v>
      </x:c>
      <x:c r="L49" s="22" t="str">
        <x:v>Pending source matching</x:v>
      </x:c>
      <x:c r="M49" s="30" t="str">
        <x:v>None</x:v>
      </x:c>
      <x:c r="N49" s="47" t="str">
        <x:v>April2025.xlsx</x:v>
      </x:c>
    </x:row>
    <x:row r="50">
      <x:c r="A50" s="46" t="n">
        <x:v>45766</x:v>
      </x:c>
      <x:c r="B50" s="30" t="str">
        <x:v>Apr-25</x:v>
      </x:c>
      <x:c r="C50" s="30" t="str">
        <x:v>Debit</x:v>
      </x:c>
      <x:c r="D50" s="19" t="str">
        <x:v>0996002596817/SBIEPYHIGHTENSIONHTP</x:v>
      </x:c>
      <x:c r="E50" s="30" t="str">
        <x:v>0000251109910293</x:v>
      </x:c>
      <x:c r="F50" s="30" t="str">
        <x:v>20/04/25</x:v>
      </x:c>
      <x:c r="G50" s="42" t="n">
        <x:v>320</x:v>
      </x:c>
      <x:c r="H50" s="42"/>
      <x:c r="I50" s="42" t="n">
        <x:v>36298.52</x:v>
      </x:c>
      <x:c r="J50" s="30" t="str">
        <x:v>Possible vendor / operating payment</x:v>
      </x:c>
      <x:c r="K50" s="30" t="str">
        <x:v>Operating</x:v>
      </x:c>
      <x:c r="L50" s="22" t="str">
        <x:v>Pending source matching</x:v>
      </x:c>
      <x:c r="M50" s="30" t="str">
        <x:v>None</x:v>
      </x:c>
      <x:c r="N50" s="47" t="str">
        <x:v>April2025.xlsx</x:v>
      </x:c>
    </x:row>
    <x:row r="51">
      <x:c r="A51" s="46" t="n">
        <x:v>45766</x:v>
      </x:c>
      <x:c r="B51" s="30" t="str">
        <x:v>Apr-25</x:v>
      </x:c>
      <x:c r="C51" s="30" t="str">
        <x:v>Debit</x:v>
      </x:c>
      <x:c r="D51" s="19" t="str">
        <x:v>1432452435946/SBIEPYHIGHTENSIONHTP</x:v>
      </x:c>
      <x:c r="E51" s="30" t="str">
        <x:v>0000251109912903</x:v>
      </x:c>
      <x:c r="F51" s="30" t="str">
        <x:v>20/04/25</x:v>
      </x:c>
      <x:c r="G51" s="42" t="n">
        <x:v>350</x:v>
      </x:c>
      <x:c r="H51" s="42"/>
      <x:c r="I51" s="42" t="n">
        <x:v>35948.52</x:v>
      </x:c>
      <x:c r="J51" s="30" t="str">
        <x:v>Possible vendor / operating payment</x:v>
      </x:c>
      <x:c r="K51" s="30" t="str">
        <x:v>Operating</x:v>
      </x:c>
      <x:c r="L51" s="22" t="str">
        <x:v>Pending source matching</x:v>
      </x:c>
      <x:c r="M51" s="30" t="str">
        <x:v>None</x:v>
      </x:c>
      <x:c r="N51" s="47" t="str">
        <x:v>April2025.xlsx</x:v>
      </x:c>
    </x:row>
    <x:row r="52">
      <x:c r="A52" s="46" t="n">
        <x:v>45767</x:v>
      </x:c>
      <x:c r="B52" s="30" t="str">
        <x:v>Apr-25</x:v>
      </x:c>
      <x:c r="C52" s="30" t="str">
        <x:v>Credit</x:v>
      </x:c>
      <x:c r="D52" s="19" t="str">
        <x:v>NEFT CR-YESB0000001-VIVISH TECHNOLOGIES PVT LTD-MONT VERT BIARRITZ CO OP HOUSING SO-YESBN52025042105415150</x:v>
      </x:c>
      <x:c r="E52" s="30" t="str">
        <x:v>YESBN52025042105415150</x:v>
      </x:c>
      <x:c r="F52" s="30" t="str">
        <x:v>21/04/25</x:v>
      </x:c>
      <x:c r="G52" s="42"/>
      <x:c r="H52" s="42" t="n">
        <x:v>24500</x:v>
      </x:c>
      <x:c r="I52" s="42" t="n">
        <x:v>60448.52</x:v>
      </x:c>
      <x:c r="J52" s="30" t="str">
        <x:v>Possible collection</x:v>
      </x:c>
      <x:c r="K52" s="30" t="str">
        <x:v>Operating</x:v>
      </x:c>
      <x:c r="L52" s="22" t="str">
        <x:v>Pending source matching</x:v>
      </x:c>
      <x:c r="M52" s="30" t="str">
        <x:v>None</x:v>
      </x:c>
      <x:c r="N52" s="47" t="str">
        <x:v>April2025.xlsx</x:v>
      </x:c>
    </x:row>
    <x:row r="53">
      <x:c r="A53" s="46" t="n">
        <x:v>45768</x:v>
      </x:c>
      <x:c r="B53" s="30" t="str">
        <x:v>Apr-25</x:v>
      </x:c>
      <x:c r="C53" s="30" t="str">
        <x:v>Debit</x:v>
      </x:c>
      <x:c r="D53" s="19" t="str">
        <x:v>FT - DR - 50100151656531 - SOMANATH MOHANTY</x:v>
      </x:c>
      <x:c r="E53" s="30" t="str">
        <x:v>0000000000000744</x:v>
      </x:c>
      <x:c r="F53" s="30" t="str">
        <x:v>22/04/25</x:v>
      </x:c>
      <x:c r="G53" s="42" t="n">
        <x:v>12700</x:v>
      </x:c>
      <x:c r="H53" s="42"/>
      <x:c r="I53" s="42" t="n">
        <x:v>47748.52</x:v>
      </x:c>
      <x:c r="J53" s="30" t="str">
        <x:v>Possible vendor / operating payment</x:v>
      </x:c>
      <x:c r="K53" s="30" t="str">
        <x:v>Operating</x:v>
      </x:c>
      <x:c r="L53" s="22" t="str">
        <x:v>Pending source matching</x:v>
      </x:c>
      <x:c r="M53" s="30" t="str">
        <x:v>None</x:v>
      </x:c>
      <x:c r="N53" s="47" t="str">
        <x:v>April2025.xlsx</x:v>
      </x:c>
    </x:row>
    <x:row r="54">
      <x:c r="A54" s="46" t="n">
        <x:v>45768</x:v>
      </x:c>
      <x:c r="B54" s="30" t="str">
        <x:v>Apr-25</x:v>
      </x:c>
      <x:c r="C54" s="30" t="str">
        <x:v>Credit</x:v>
      </x:c>
      <x:c r="D54" s="19" t="str">
        <x:v>NEFT CR-YESB0000001-VIVISH TECHNOLOGIES PVT LTD-MONT VERT BIARRITZ CO OP HOUSING SO-YESBN52025042205764686</x:v>
      </x:c>
      <x:c r="E54" s="30" t="str">
        <x:v>YESBN52025042205764686</x:v>
      </x:c>
      <x:c r="F54" s="30" t="str">
        <x:v>22/04/25</x:v>
      </x:c>
      <x:c r="G54" s="42"/>
      <x:c r="H54" s="42" t="n">
        <x:v>24500</x:v>
      </x:c>
      <x:c r="I54" s="42" t="n">
        <x:v>72248.52</x:v>
      </x:c>
      <x:c r="J54" s="30" t="str">
        <x:v>Possible collection</x:v>
      </x:c>
      <x:c r="K54" s="30" t="str">
        <x:v>Operating</x:v>
      </x:c>
      <x:c r="L54" s="22" t="str">
        <x:v>Pending source matching</x:v>
      </x:c>
      <x:c r="M54" s="30" t="str">
        <x:v>None</x:v>
      </x:c>
      <x:c r="N54" s="47" t="str">
        <x:v>April2025.xlsx</x:v>
      </x:c>
    </x:row>
    <x:row r="55">
      <x:c r="A55" s="46" t="n">
        <x:v>45769</x:v>
      </x:c>
      <x:c r="B55" s="30" t="str">
        <x:v>Apr-25</x:v>
      </x:c>
      <x:c r="C55" s="30" t="str">
        <x:v>Debit</x:v>
      </x:c>
      <x:c r="D55" s="19" t="str">
        <x:v>CHQ PAID-MICR CTS-MU-NEW BALAJI HARDWARE</x:v>
      </x:c>
      <x:c r="E55" s="30" t="str">
        <x:v>0000000000000745</x:v>
      </x:c>
      <x:c r="F55" s="30" t="str">
        <x:v>23/04/25</x:v>
      </x:c>
      <x:c r="G55" s="42" t="n">
        <x:v>13260</x:v>
      </x:c>
      <x:c r="H55" s="42"/>
      <x:c r="I55" s="42" t="n">
        <x:v>58988.52</x:v>
      </x:c>
      <x:c r="J55" s="30" t="str">
        <x:v>Possible vendor / operating payment</x:v>
      </x:c>
      <x:c r="K55" s="30" t="str">
        <x:v>Operating</x:v>
      </x:c>
      <x:c r="L55" s="22" t="str">
        <x:v>Pending source matching</x:v>
      </x:c>
      <x:c r="M55" s="30" t="str">
        <x:v>None</x:v>
      </x:c>
      <x:c r="N55" s="47" t="str">
        <x:v>April2025.xlsx</x:v>
      </x:c>
    </x:row>
    <x:row r="56">
      <x:c r="A56" s="46" t="n">
        <x:v>45770</x:v>
      </x:c>
      <x:c r="B56" s="30" t="str">
        <x:v>Apr-25</x:v>
      </x:c>
      <x:c r="C56" s="30" t="str">
        <x:v>Credit</x:v>
      </x:c>
      <x:c r="D56" s="19" t="str">
        <x:v>CHQ DEP MICR8 CLG MODEL COLONY - MICR 8: KULBHUSHAN KHANNA :STATE BANK OF INDIA</x:v>
      </x:c>
      <x:c r="E56" s="30" t="str">
        <x:v>0000000000390887</x:v>
      </x:c>
      <x:c r="F56" s="30" t="str">
        <x:v>25/04/25</x:v>
      </x:c>
      <x:c r="G56" s="42"/>
      <x:c r="H56" s="42" t="n">
        <x:v>26500</x:v>
      </x:c>
      <x:c r="I56" s="42" t="n">
        <x:v>85488.52</x:v>
      </x:c>
      <x:c r="J56" s="30" t="str">
        <x:v>Other bank credit</x:v>
      </x:c>
      <x:c r="K56" s="30" t="str">
        <x:v>Other</x:v>
      </x:c>
      <x:c r="L56" s="22" t="str">
        <x:v>Pending source matching</x:v>
      </x:c>
      <x:c r="M56" s="30" t="str">
        <x:v>None</x:v>
      </x:c>
      <x:c r="N56" s="47" t="str">
        <x:v>April2025.xlsx</x:v>
      </x:c>
    </x:row>
    <x:row r="57">
      <x:c r="A57" s="46" t="n">
        <x:v>45771</x:v>
      </x:c>
      <x:c r="B57" s="30" t="str">
        <x:v>Apr-25</x:v>
      </x:c>
      <x:c r="C57" s="30" t="str">
        <x:v>Debit</x:v>
      </x:c>
      <x:c r="D57" s="19" t="str">
        <x:v>3785162047555/SBIEPYHIGHTENSIONHTP</x:v>
      </x:c>
      <x:c r="E57" s="30" t="str">
        <x:v>0000251151981595</x:v>
      </x:c>
      <x:c r="F57" s="30" t="str">
        <x:v>25/04/25</x:v>
      </x:c>
      <x:c r="G57" s="42" t="n">
        <x:v>43270</x:v>
      </x:c>
      <x:c r="H57" s="42"/>
      <x:c r="I57" s="42" t="n">
        <x:v>42218.52</x:v>
      </x:c>
      <x:c r="J57" s="30" t="str">
        <x:v>Possible vendor / operating payment</x:v>
      </x:c>
      <x:c r="K57" s="30" t="str">
        <x:v>Operating</x:v>
      </x:c>
      <x:c r="L57" s="22" t="str">
        <x:v>Pending source matching</x:v>
      </x:c>
      <x:c r="M57" s="30" t="str">
        <x:v>None</x:v>
      </x:c>
      <x:c r="N57" s="47" t="str">
        <x:v>April2025.xlsx</x:v>
      </x:c>
    </x:row>
    <x:row r="58">
      <x:c r="A58" s="46" t="n">
        <x:v>45772</x:v>
      </x:c>
      <x:c r="B58" s="30" t="str">
        <x:v>Apr-25</x:v>
      </x:c>
      <x:c r="C58" s="30" t="str">
        <x:v>Credit</x:v>
      </x:c>
      <x:c r="D58" s="19" t="str">
        <x:v>00071050099168-TPT-B604 APR SEP25 MAINTENANCE CHARGES-VISHWANATH SHARANAPPA LINGAYAT</x:v>
      </x:c>
      <x:c r="E58" s="30" t="str">
        <x:v>0000000223664899</x:v>
      </x:c>
      <x:c r="F58" s="30" t="str">
        <x:v>26/04/25</x:v>
      </x:c>
      <x:c r="G58" s="42"/>
      <x:c r="H58" s="42" t="n">
        <x:v>26500</x:v>
      </x:c>
      <x:c r="I58" s="42" t="n">
        <x:v>68718.52</x:v>
      </x:c>
      <x:c r="J58" s="30" t="str">
        <x:v>Other bank credit</x:v>
      </x:c>
      <x:c r="K58" s="30" t="str">
        <x:v>Other</x:v>
      </x:c>
      <x:c r="L58" s="22" t="str">
        <x:v>Pending source matching</x:v>
      </x:c>
      <x:c r="M58" s="30" t="str">
        <x:v>None</x:v>
      </x:c>
      <x:c r="N58" s="47" t="str">
        <x:v>April2025.xlsx</x:v>
      </x:c>
    </x:row>
    <x:row r="59">
      <x:c r="A59" s="46" t="n">
        <x:v>45774</x:v>
      </x:c>
      <x:c r="B59" s="30" t="str">
        <x:v>Apr-25</x:v>
      </x:c>
      <x:c r="C59" s="30" t="str">
        <x:v>Credit</x:v>
      </x:c>
      <x:c r="D59" s="19" t="str">
        <x:v>01491000070878-TPT-B102 APR-SEPT 25-SONAL AMIT JOGLEKAR</x:v>
      </x:c>
      <x:c r="E59" s="30" t="str">
        <x:v>0000000806943945</x:v>
      </x:c>
      <x:c r="F59" s="30" t="str">
        <x:v>28/04/25</x:v>
      </x:c>
      <x:c r="G59" s="42"/>
      <x:c r="H59" s="42" t="n">
        <x:v>24500</x:v>
      </x:c>
      <x:c r="I59" s="42" t="n">
        <x:v>93218.52</x:v>
      </x:c>
      <x:c r="J59" s="30" t="str">
        <x:v>Other bank credit</x:v>
      </x:c>
      <x:c r="K59" s="30" t="str">
        <x:v>Other</x:v>
      </x:c>
      <x:c r="L59" s="22" t="str">
        <x:v>Pending source matching</x:v>
      </x:c>
      <x:c r="M59" s="30" t="str">
        <x:v>None</x:v>
      </x:c>
      <x:c r="N59" s="47" t="str">
        <x:v>April2025.xlsx</x:v>
      </x:c>
    </x:row>
    <x:row r="60">
      <x:c r="A60" s="46" t="n">
        <x:v>45774</x:v>
      </x:c>
      <x:c r="B60" s="30" t="str">
        <x:v>Apr-25</x:v>
      </x:c>
      <x:c r="C60" s="30" t="str">
        <x:v>Credit</x:v>
      </x:c>
      <x:c r="D60" s="19" t="str">
        <x:v>CASH DEPOSIT BY - ANIL CHAUDHURI - PASHAN - PUNE</x:v>
      </x:c>
      <x:c r="E60" s="30" t="str">
        <x:v>000000000000000</x:v>
      </x:c>
      <x:c r="F60" s="30" t="str">
        <x:v>28/04/25</x:v>
      </x:c>
      <x:c r="G60" s="42"/>
      <x:c r="H60" s="42" t="n">
        <x:v>24500</x:v>
      </x:c>
      <x:c r="I60" s="42" t="n">
        <x:v>117718.52</x:v>
      </x:c>
      <x:c r="J60" s="30" t="str">
        <x:v>Possible collection</x:v>
      </x:c>
      <x:c r="K60" s="30" t="str">
        <x:v>Operating</x:v>
      </x:c>
      <x:c r="L60" s="22" t="str">
        <x:v>Pending source matching</x:v>
      </x:c>
      <x:c r="M60" s="30" t="str">
        <x:v>None</x:v>
      </x:c>
      <x:c r="N60" s="47" t="str">
        <x:v>April2025.xlsx</x:v>
      </x:c>
    </x:row>
    <x:row r="61">
      <x:c r="A61" s="46" t="n">
        <x:v>45774</x:v>
      </x:c>
      <x:c r="B61" s="30" t="str">
        <x:v>Apr-25</x:v>
      </x:c>
      <x:c r="C61" s="30" t="str">
        <x:v>Credit</x:v>
      </x:c>
      <x:c r="D61" s="19" t="str">
        <x:v>UPI-AASHISH HEMENDRA SIN-9552555009@YBL-HDFC0000052-367906968700-PAYMENT FROM PHONE</x:v>
      </x:c>
      <x:c r="E61" s="30" t="str">
        <x:v>0000367906968700</x:v>
      </x:c>
      <x:c r="F61" s="30" t="str">
        <x:v>28/04/25</x:v>
      </x:c>
      <x:c r="G61" s="42"/>
      <x:c r="H61" s="42" t="n">
        <x:v>26500</x:v>
      </x:c>
      <x:c r="I61" s="42" t="n">
        <x:v>144218.52</x:v>
      </x:c>
      <x:c r="J61" s="30" t="str">
        <x:v>Possible collection</x:v>
      </x:c>
      <x:c r="K61" s="30" t="str">
        <x:v>Operating</x:v>
      </x:c>
      <x:c r="L61" s="22" t="str">
        <x:v>Pending source matching</x:v>
      </x:c>
      <x:c r="M61" s="30" t="str">
        <x:v>None</x:v>
      </x:c>
      <x:c r="N61" s="47" t="str">
        <x:v>April2025.xlsx</x:v>
      </x:c>
    </x:row>
    <x:row r="62">
      <x:c r="A62" s="46" t="n">
        <x:v>45774</x:v>
      </x:c>
      <x:c r="B62" s="30" t="str">
        <x:v>Apr-25</x:v>
      </x:c>
      <x:c r="C62" s="30" t="str">
        <x:v>Credit</x:v>
      </x:c>
      <x:c r="D62" s="19" t="str">
        <x:v>NEFT CR-YESB0000001-VIVISH TECHNOLOGIES PVT LTD-MONT VERT BIARRITZ CO OP HOUSING SO-YESBN52025042807699430</x:v>
      </x:c>
      <x:c r="E62" s="30" t="str">
        <x:v>YESBN52025042807699430</x:v>
      </x:c>
      <x:c r="F62" s="30" t="str">
        <x:v>28/04/25</x:v>
      </x:c>
      <x:c r="G62" s="42"/>
      <x:c r="H62" s="42" t="n">
        <x:v>24500</x:v>
      </x:c>
      <x:c r="I62" s="42" t="n">
        <x:v>168718.52</x:v>
      </x:c>
      <x:c r="J62" s="30" t="str">
        <x:v>Possible collection</x:v>
      </x:c>
      <x:c r="K62" s="30" t="str">
        <x:v>Operating</x:v>
      </x:c>
      <x:c r="L62" s="22" t="str">
        <x:v>Pending source matching</x:v>
      </x:c>
      <x:c r="M62" s="30" t="str">
        <x:v>None</x:v>
      </x:c>
      <x:c r="N62" s="47" t="str">
        <x:v>April2025.xlsx</x:v>
      </x:c>
    </x:row>
    <x:row r="63">
      <x:c r="A63" s="46" t="n">
        <x:v>45774</x:v>
      </x:c>
      <x:c r="B63" s="30" t="str">
        <x:v>Apr-25</x:v>
      </x:c>
      <x:c r="C63" s="30" t="str">
        <x:v>Credit</x:v>
      </x:c>
      <x:c r="D63" s="19" t="str">
        <x:v>NEFT CR-YESB0000001-VIVISH TECHNOLOGIES PVT LTD-MONT VERT BIARRITZ CO OP HOUSING SO-YESBN52025042807700304</x:v>
      </x:c>
      <x:c r="E63" s="30" t="str">
        <x:v>YESBN52025042807700304</x:v>
      </x:c>
      <x:c r="F63" s="30" t="str">
        <x:v>28/04/25</x:v>
      </x:c>
      <x:c r="G63" s="42"/>
      <x:c r="H63" s="42" t="n">
        <x:v>26500</x:v>
      </x:c>
      <x:c r="I63" s="42" t="n">
        <x:v>195218.52</x:v>
      </x:c>
      <x:c r="J63" s="30" t="str">
        <x:v>Possible collection</x:v>
      </x:c>
      <x:c r="K63" s="30" t="str">
        <x:v>Operating</x:v>
      </x:c>
      <x:c r="L63" s="22" t="str">
        <x:v>Pending source matching</x:v>
      </x:c>
      <x:c r="M63" s="30" t="str">
        <x:v>None</x:v>
      </x:c>
      <x:c r="N63" s="47" t="str">
        <x:v>April2025.xlsx</x:v>
      </x:c>
    </x:row>
    <x:row r="64">
      <x:c r="A64" s="46" t="n">
        <x:v>45774</x:v>
      </x:c>
      <x:c r="B64" s="30" t="str">
        <x:v>Apr-25</x:v>
      </x:c>
      <x:c r="C64" s="30" t="str">
        <x:v>Credit</x:v>
      </x:c>
      <x:c r="D64" s="19" t="str">
        <x:v>NEFT CR-YESB0000001-VIVISH TECHNOLOGIES PVT LTD-MONT VERT BIARRITZ CO OP HOUSING SO-YESBN52025042807703126</x:v>
      </x:c>
      <x:c r="E64" s="30" t="str">
        <x:v>YESBN52025042807703126</x:v>
      </x:c>
      <x:c r="F64" s="30" t="str">
        <x:v>28/04/25</x:v>
      </x:c>
      <x:c r="G64" s="42"/>
      <x:c r="H64" s="42" t="n">
        <x:v>26500</x:v>
      </x:c>
      <x:c r="I64" s="42" t="n">
        <x:v>221718.52</x:v>
      </x:c>
      <x:c r="J64" s="30" t="str">
        <x:v>Possible collection</x:v>
      </x:c>
      <x:c r="K64" s="30" t="str">
        <x:v>Operating</x:v>
      </x:c>
      <x:c r="L64" s="22" t="str">
        <x:v>Pending source matching</x:v>
      </x:c>
      <x:c r="M64" s="30" t="str">
        <x:v>None</x:v>
      </x:c>
      <x:c r="N64" s="47" t="str">
        <x:v>April2025.xlsx</x:v>
      </x:c>
    </x:row>
    <x:row r="65">
      <x:c r="A65" s="46" t="n">
        <x:v>45774</x:v>
      </x:c>
      <x:c r="B65" s="30" t="str">
        <x:v>Apr-25</x:v>
      </x:c>
      <x:c r="C65" s="30" t="str">
        <x:v>Credit</x:v>
      </x:c>
      <x:c r="D65" s="19" t="str">
        <x:v>NEFT CR-YESB0000001-VIVISH TECHNOLOGIES PVT LTD-MONT VERT BIARRITZ CO OP HOUSING SO-YESBN52025042807703269</x:v>
      </x:c>
      <x:c r="E65" s="30" t="str">
        <x:v>YESBN52025042807703269</x:v>
      </x:c>
      <x:c r="F65" s="30" t="str">
        <x:v>28/04/25</x:v>
      </x:c>
      <x:c r="G65" s="42"/>
      <x:c r="H65" s="42" t="n">
        <x:v>24500</x:v>
      </x:c>
      <x:c r="I65" s="42" t="n">
        <x:v>246218.52</x:v>
      </x:c>
      <x:c r="J65" s="30" t="str">
        <x:v>Possible collection</x:v>
      </x:c>
      <x:c r="K65" s="30" t="str">
        <x:v>Operating</x:v>
      </x:c>
      <x:c r="L65" s="22" t="str">
        <x:v>Pending source matching</x:v>
      </x:c>
      <x:c r="M65" s="30" t="str">
        <x:v>None</x:v>
      </x:c>
      <x:c r="N65" s="47" t="str">
        <x:v>April2025.xlsx</x:v>
      </x:c>
    </x:row>
    <x:row r="66">
      <x:c r="A66" s="46" t="n">
        <x:v>45774</x:v>
      </x:c>
      <x:c r="B66" s="30" t="str">
        <x:v>Apr-25</x:v>
      </x:c>
      <x:c r="C66" s="30" t="str">
        <x:v>Credit</x:v>
      </x:c>
      <x:c r="D66" s="19" t="str">
        <x:v>NEFT CR-YESB0000001-VIVISH TECHNOLOGIES PVT LTD-MONT VERT BIARRITZ CO OP HOUSING SO-YESBN52025042807704700</x:v>
      </x:c>
      <x:c r="E66" s="30" t="str">
        <x:v>YESBN52025042807704700</x:v>
      </x:c>
      <x:c r="F66" s="30" t="str">
        <x:v>28/04/25</x:v>
      </x:c>
      <x:c r="G66" s="42"/>
      <x:c r="H66" s="42" t="n">
        <x:v>26500</x:v>
      </x:c>
      <x:c r="I66" s="42" t="n">
        <x:v>272718.52</x:v>
      </x:c>
      <x:c r="J66" s="30" t="str">
        <x:v>Possible collection</x:v>
      </x:c>
      <x:c r="K66" s="30" t="str">
        <x:v>Operating</x:v>
      </x:c>
      <x:c r="L66" s="22" t="str">
        <x:v>Pending source matching</x:v>
      </x:c>
      <x:c r="M66" s="30" t="str">
        <x:v>None</x:v>
      </x:c>
      <x:c r="N66" s="47" t="str">
        <x:v>April2025.xlsx</x:v>
      </x:c>
    </x:row>
    <x:row r="67">
      <x:c r="A67" s="46" t="n">
        <x:v>45774</x:v>
      </x:c>
      <x:c r="B67" s="30" t="str">
        <x:v>Apr-25</x:v>
      </x:c>
      <x:c r="C67" s="30" t="str">
        <x:v>Credit</x:v>
      </x:c>
      <x:c r="D67" s="19" t="str">
        <x:v>NEFT CR-YESB0000001-VIVISH TECHNOLOGIES PVT LTD-MONT VERT BIARRITZ CO OP HOUSING SO-YESBN52025042807705906</x:v>
      </x:c>
      <x:c r="E67" s="30" t="str">
        <x:v>YESBN52025042807705906</x:v>
      </x:c>
      <x:c r="F67" s="30" t="str">
        <x:v>28/04/25</x:v>
      </x:c>
      <x:c r="G67" s="42"/>
      <x:c r="H67" s="42" t="n">
        <x:v>24500</x:v>
      </x:c>
      <x:c r="I67" s="42" t="n">
        <x:v>297218.52</x:v>
      </x:c>
      <x:c r="J67" s="30" t="str">
        <x:v>Possible collection</x:v>
      </x:c>
      <x:c r="K67" s="30" t="str">
        <x:v>Operating</x:v>
      </x:c>
      <x:c r="L67" s="22" t="str">
        <x:v>Pending source matching</x:v>
      </x:c>
      <x:c r="M67" s="30" t="str">
        <x:v>None</x:v>
      </x:c>
      <x:c r="N67" s="47" t="str">
        <x:v>April2025.xlsx</x:v>
      </x:c>
    </x:row>
    <x:row r="68">
      <x:c r="A68" s="46" t="n">
        <x:v>45774</x:v>
      </x:c>
      <x:c r="B68" s="30" t="str">
        <x:v>Apr-25</x:v>
      </x:c>
      <x:c r="C68" s="30" t="str">
        <x:v>Credit</x:v>
      </x:c>
      <x:c r="D68" s="19" t="str">
        <x:v>NEFT CR-YESB0000001-VIVISH TECHNOLOGIES PVT LTD-MONT VERT BIARRITZ CO OP HOUSING SO-YESBN52025042807709689</x:v>
      </x:c>
      <x:c r="E68" s="30" t="str">
        <x:v>YESBN52025042807709689</x:v>
      </x:c>
      <x:c r="F68" s="30" t="str">
        <x:v>28/04/25</x:v>
      </x:c>
      <x:c r="G68" s="42"/>
      <x:c r="H68" s="42" t="n">
        <x:v>24500</x:v>
      </x:c>
      <x:c r="I68" s="42" t="n">
        <x:v>321718.52</x:v>
      </x:c>
      <x:c r="J68" s="30" t="str">
        <x:v>Possible collection</x:v>
      </x:c>
      <x:c r="K68" s="30" t="str">
        <x:v>Operating</x:v>
      </x:c>
      <x:c r="L68" s="22" t="str">
        <x:v>Pending source matching</x:v>
      </x:c>
      <x:c r="M68" s="30" t="str">
        <x:v>None</x:v>
      </x:c>
      <x:c r="N68" s="47" t="str">
        <x:v>April2025.xlsx</x:v>
      </x:c>
    </x:row>
    <x:row r="69">
      <x:c r="A69" s="46" t="n">
        <x:v>45774</x:v>
      </x:c>
      <x:c r="B69" s="30" t="str">
        <x:v>Apr-25</x:v>
      </x:c>
      <x:c r="C69" s="30" t="str">
        <x:v>Credit</x:v>
      </x:c>
      <x:c r="D69" s="19" t="str">
        <x:v>NEFT CR-YESB0000001-VIVISH TECHNOLOGIES PVT LTD-MONT VERT BIARRITZ CO OP HOUSING SO-YESBN52025042807709823</x:v>
      </x:c>
      <x:c r="E69" s="30" t="str">
        <x:v>YESBN52025042807709823</x:v>
      </x:c>
      <x:c r="F69" s="30" t="str">
        <x:v>28/04/25</x:v>
      </x:c>
      <x:c r="G69" s="42"/>
      <x:c r="H69" s="42" t="n">
        <x:v>24500</x:v>
      </x:c>
      <x:c r="I69" s="42" t="n">
        <x:v>346218.52</x:v>
      </x:c>
      <x:c r="J69" s="30" t="str">
        <x:v>Possible collection</x:v>
      </x:c>
      <x:c r="K69" s="30" t="str">
        <x:v>Operating</x:v>
      </x:c>
      <x:c r="L69" s="22" t="str">
        <x:v>Pending source matching</x:v>
      </x:c>
      <x:c r="M69" s="30" t="str">
        <x:v>None</x:v>
      </x:c>
      <x:c r="N69" s="47" t="str">
        <x:v>April2025.xlsx</x:v>
      </x:c>
    </x:row>
    <x:row r="70">
      <x:c r="A70" s="46" t="n">
        <x:v>45774</x:v>
      </x:c>
      <x:c r="B70" s="30" t="str">
        <x:v>Apr-25</x:v>
      </x:c>
      <x:c r="C70" s="30" t="str">
        <x:v>Credit</x:v>
      </x:c>
      <x:c r="D70" s="19" t="str">
        <x:v>NEFT CR-YESB0000001-VIVISH TECHNOLOGIES PVT LTD-MONT VERT BIARRITZ CO OP HOUSING SO-YESBN52025042807712216</x:v>
      </x:c>
      <x:c r="E70" s="30" t="str">
        <x:v>YESBN52025042807712216</x:v>
      </x:c>
      <x:c r="F70" s="30" t="str">
        <x:v>28/04/25</x:v>
      </x:c>
      <x:c r="G70" s="42"/>
      <x:c r="H70" s="42" t="n">
        <x:v>24500</x:v>
      </x:c>
      <x:c r="I70" s="42" t="n">
        <x:v>370718.52</x:v>
      </x:c>
      <x:c r="J70" s="30" t="str">
        <x:v>Possible collection</x:v>
      </x:c>
      <x:c r="K70" s="30" t="str">
        <x:v>Operating</x:v>
      </x:c>
      <x:c r="L70" s="22" t="str">
        <x:v>Pending source matching</x:v>
      </x:c>
      <x:c r="M70" s="30" t="str">
        <x:v>None</x:v>
      </x:c>
      <x:c r="N70" s="47" t="str">
        <x:v>April2025.xlsx</x:v>
      </x:c>
    </x:row>
    <x:row r="71">
      <x:c r="A71" s="46" t="n">
        <x:v>45774</x:v>
      </x:c>
      <x:c r="B71" s="30" t="str">
        <x:v>Apr-25</x:v>
      </x:c>
      <x:c r="C71" s="30" t="str">
        <x:v>Credit</x:v>
      </x:c>
      <x:c r="D71" s="19" t="str">
        <x:v>NEFT CR-YESB0000001-VIVISH TECHNOLOGIES PVT LTD-MONT VERT BIARRITZ CO OP HOUSING SO-YESBN52025042807724865</x:v>
      </x:c>
      <x:c r="E71" s="30" t="str">
        <x:v>YESBN52025042807724865</x:v>
      </x:c>
      <x:c r="F71" s="30" t="str">
        <x:v>28/04/25</x:v>
      </x:c>
      <x:c r="G71" s="42"/>
      <x:c r="H71" s="42" t="n">
        <x:v>24500</x:v>
      </x:c>
      <x:c r="I71" s="42" t="n">
        <x:v>395218.52</x:v>
      </x:c>
      <x:c r="J71" s="30" t="str">
        <x:v>Possible collection</x:v>
      </x:c>
      <x:c r="K71" s="30" t="str">
        <x:v>Operating</x:v>
      </x:c>
      <x:c r="L71" s="22" t="str">
        <x:v>Pending source matching</x:v>
      </x:c>
      <x:c r="M71" s="30" t="str">
        <x:v>None</x:v>
      </x:c>
      <x:c r="N71" s="47" t="str">
        <x:v>April2025.xlsx</x:v>
      </x:c>
    </x:row>
    <x:row r="72">
      <x:c r="A72" s="46" t="n">
        <x:v>45775</x:v>
      </x:c>
      <x:c r="B72" s="30" t="str">
        <x:v>Apr-25</x:v>
      </x:c>
      <x:c r="C72" s="30" t="str">
        <x:v>Credit</x:v>
      </x:c>
      <x:c r="D72" s="19" t="str">
        <x:v>NEFT CR-ICIC0SF0002-VIVISH TECHNOLOGIES PRIVATE LIMITED-MONTVERTBIARRITZCOOPHOUSINGSOCIETYLTD-ICICN42025042957728155</x:v>
      </x:c>
      <x:c r="E72" s="30" t="str">
        <x:v>ICICN42025042957728155</x:v>
      </x:c>
      <x:c r="F72" s="30" t="str">
        <x:v>29/04/25</x:v>
      </x:c>
      <x:c r="G72" s="42"/>
      <x:c r="H72" s="42" t="n">
        <x:v>24500</x:v>
      </x:c>
      <x:c r="I72" s="42" t="n">
        <x:v>419718.52</x:v>
      </x:c>
      <x:c r="J72" s="30" t="str">
        <x:v>Possible collection</x:v>
      </x:c>
      <x:c r="K72" s="30" t="str">
        <x:v>Operating</x:v>
      </x:c>
      <x:c r="L72" s="22" t="str">
        <x:v>Pending source matching</x:v>
      </x:c>
      <x:c r="M72" s="30" t="str">
        <x:v>None</x:v>
      </x:c>
      <x:c r="N72" s="47" t="str">
        <x:v>April2025.xlsx</x:v>
      </x:c>
    </x:row>
    <x:row r="73">
      <x:c r="A73" s="46" t="n">
        <x:v>45775</x:v>
      </x:c>
      <x:c r="B73" s="30" t="str">
        <x:v>Apr-25</x:v>
      </x:c>
      <x:c r="C73" s="30" t="str">
        <x:v>Credit</x:v>
      </x:c>
      <x:c r="D73" s="19" t="str">
        <x:v>NEFT CR-ICIC0SF0002-VIVISH TECHNOLOGIES PRIVATE LIMITED-MONTVERTBIARRITZCOOPHOUSINGSOCIETYLTD-ICICN42025042957733823</x:v>
      </x:c>
      <x:c r="E73" s="30" t="str">
        <x:v>ICICN42025042957733823</x:v>
      </x:c>
      <x:c r="F73" s="30" t="str">
        <x:v>29/04/25</x:v>
      </x:c>
      <x:c r="G73" s="42"/>
      <x:c r="H73" s="42" t="n">
        <x:v>26500</x:v>
      </x:c>
      <x:c r="I73" s="42" t="n">
        <x:v>446218.52</x:v>
      </x:c>
      <x:c r="J73" s="30" t="str">
        <x:v>Possible collection</x:v>
      </x:c>
      <x:c r="K73" s="30" t="str">
        <x:v>Operating</x:v>
      </x:c>
      <x:c r="L73" s="22" t="str">
        <x:v>Pending source matching</x:v>
      </x:c>
      <x:c r="M73" s="30" t="str">
        <x:v>None</x:v>
      </x:c>
      <x:c r="N73" s="47" t="str">
        <x:v>April2025.xlsx</x:v>
      </x:c>
    </x:row>
    <x:row r="74">
      <x:c r="A74" s="46" t="n">
        <x:v>45775</x:v>
      </x:c>
      <x:c r="B74" s="30" t="str">
        <x:v>Apr-25</x:v>
      </x:c>
      <x:c r="C74" s="30" t="str">
        <x:v>Credit</x:v>
      </x:c>
      <x:c r="D74" s="19" t="str">
        <x:v>NEFT CR-YESB0000001-VIVISH TECHNOLOGIES PVT LTD-MONT VERT BIARRITZ CO OP HOUSING SO-YESBN52025042908059285</x:v>
      </x:c>
      <x:c r="E74" s="30" t="str">
        <x:v>YESBN52025042908059285</x:v>
      </x:c>
      <x:c r="F74" s="30" t="str">
        <x:v>29/04/25</x:v>
      </x:c>
      <x:c r="G74" s="42"/>
      <x:c r="H74" s="42" t="n">
        <x:v>24500</x:v>
      </x:c>
      <x:c r="I74" s="42" t="n">
        <x:v>470718.52</x:v>
      </x:c>
      <x:c r="J74" s="30" t="str">
        <x:v>Possible collection</x:v>
      </x:c>
      <x:c r="K74" s="30" t="str">
        <x:v>Operating</x:v>
      </x:c>
      <x:c r="L74" s="22" t="str">
        <x:v>Pending source matching</x:v>
      </x:c>
      <x:c r="M74" s="30" t="str">
        <x:v>None</x:v>
      </x:c>
      <x:c r="N74" s="47" t="str">
        <x:v>April2025.xlsx</x:v>
      </x:c>
    </x:row>
    <x:row r="75">
      <x:c r="A75" s="46" t="n">
        <x:v>45775</x:v>
      </x:c>
      <x:c r="B75" s="30" t="str">
        <x:v>Apr-25</x:v>
      </x:c>
      <x:c r="C75" s="30" t="str">
        <x:v>Credit</x:v>
      </x:c>
      <x:c r="D75" s="19" t="str">
        <x:v>NEFT CR-YESB0000001-VIVISH TECHNOLOGIES PVT LTD-MONT VERT BIARRITZ CO OP HOUSING SO-YESBN52025042908060238</x:v>
      </x:c>
      <x:c r="E75" s="30" t="str">
        <x:v>YESBN52025042908060238</x:v>
      </x:c>
      <x:c r="F75" s="30" t="str">
        <x:v>29/04/25</x:v>
      </x:c>
      <x:c r="G75" s="42"/>
      <x:c r="H75" s="42" t="n">
        <x:v>24500</x:v>
      </x:c>
      <x:c r="I75" s="42" t="n">
        <x:v>495218.52</x:v>
      </x:c>
      <x:c r="J75" s="30" t="str">
        <x:v>Possible collection</x:v>
      </x:c>
      <x:c r="K75" s="30" t="str">
        <x:v>Operating</x:v>
      </x:c>
      <x:c r="L75" s="22" t="str">
        <x:v>Pending source matching</x:v>
      </x:c>
      <x:c r="M75" s="30" t="str">
        <x:v>None</x:v>
      </x:c>
      <x:c r="N75" s="47" t="str">
        <x:v>April2025.xlsx</x:v>
      </x:c>
    </x:row>
    <x:row r="76">
      <x:c r="A76" s="46" t="n">
        <x:v>45775</x:v>
      </x:c>
      <x:c r="B76" s="30" t="str">
        <x:v>Apr-25</x:v>
      </x:c>
      <x:c r="C76" s="30" t="str">
        <x:v>Credit</x:v>
      </x:c>
      <x:c r="D76" s="19" t="str">
        <x:v>NEFT CR-YESB0000001-VIVISH TECHNOLOGIES PVT LTD-MONT VERT BIARRITZ CO OP HOUSING SO-YESBN52025042908060405</x:v>
      </x:c>
      <x:c r="E76" s="30" t="str">
        <x:v>YESBN52025042908060405</x:v>
      </x:c>
      <x:c r="F76" s="30" t="str">
        <x:v>29/04/25</x:v>
      </x:c>
      <x:c r="G76" s="42"/>
      <x:c r="H76" s="42" t="n">
        <x:v>24500</x:v>
      </x:c>
      <x:c r="I76" s="42" t="n">
        <x:v>519718.52</x:v>
      </x:c>
      <x:c r="J76" s="30" t="str">
        <x:v>Possible collection</x:v>
      </x:c>
      <x:c r="K76" s="30" t="str">
        <x:v>Operating</x:v>
      </x:c>
      <x:c r="L76" s="22" t="str">
        <x:v>Pending source matching</x:v>
      </x:c>
      <x:c r="M76" s="30" t="str">
        <x:v>None</x:v>
      </x:c>
      <x:c r="N76" s="47" t="str">
        <x:v>April2025.xlsx</x:v>
      </x:c>
    </x:row>
    <x:row r="77">
      <x:c r="A77" s="46" t="n">
        <x:v>45775</x:v>
      </x:c>
      <x:c r="B77" s="30" t="str">
        <x:v>Apr-25</x:v>
      </x:c>
      <x:c r="C77" s="30" t="str">
        <x:v>Credit</x:v>
      </x:c>
      <x:c r="D77" s="19" t="str">
        <x:v>NEFT CR-YESB0000001-VIVISH TECHNOLOGIES PVT LTD-MONT VERT BIARRITZ CO OP HOUSING SO-YESBN52025042908065658</x:v>
      </x:c>
      <x:c r="E77" s="30" t="str">
        <x:v>YESBN52025042908065658</x:v>
      </x:c>
      <x:c r="F77" s="30" t="str">
        <x:v>29/04/25</x:v>
      </x:c>
      <x:c r="G77" s="42"/>
      <x:c r="H77" s="42" t="n">
        <x:v>24500</x:v>
      </x:c>
      <x:c r="I77" s="42" t="n">
        <x:v>544218.52</x:v>
      </x:c>
      <x:c r="J77" s="30" t="str">
        <x:v>Possible collection</x:v>
      </x:c>
      <x:c r="K77" s="30" t="str">
        <x:v>Operating</x:v>
      </x:c>
      <x:c r="L77" s="22" t="str">
        <x:v>Pending source matching</x:v>
      </x:c>
      <x:c r="M77" s="30" t="str">
        <x:v>None</x:v>
      </x:c>
      <x:c r="N77" s="47" t="str">
        <x:v>April2025.xlsx</x:v>
      </x:c>
    </x:row>
    <x:row r="78">
      <x:c r="A78" s="46" t="n">
        <x:v>45775</x:v>
      </x:c>
      <x:c r="B78" s="30" t="str">
        <x:v>Apr-25</x:v>
      </x:c>
      <x:c r="C78" s="30" t="str">
        <x:v>Debit</x:v>
      </x:c>
      <x:c r="D78" s="19" t="str">
        <x:v>CBDT/BANK REFERENCE NO:K2511933474453/CIN NO:25042900713379HDFC/ONLINE</x:v>
      </x:c>
      <x:c r="E78" s="30" t="str">
        <x:v>0250429190010704</x:v>
      </x:c>
      <x:c r="F78" s="30" t="str">
        <x:v>29/04/25</x:v>
      </x:c>
      <x:c r="G78" s="42" t="n">
        <x:v>3295</x:v>
      </x:c>
      <x:c r="H78" s="42"/>
      <x:c r="I78" s="42" t="n">
        <x:v>540923.52</x:v>
      </x:c>
      <x:c r="J78" s="30" t="str">
        <x:v>Tax / statutory payment</x:v>
      </x:c>
      <x:c r="K78" s="30" t="str">
        <x:v>Operating</x:v>
      </x:c>
      <x:c r="L78" s="22" t="str">
        <x:v>Pending source matching</x:v>
      </x:c>
      <x:c r="M78" s="30" t="str">
        <x:v>None</x:v>
      </x:c>
      <x:c r="N78" s="47" t="str">
        <x:v>April2025.xlsx</x:v>
      </x:c>
    </x:row>
    <x:row r="79">
      <x:c r="A79" s="46" t="n">
        <x:v>45776</x:v>
      </x:c>
      <x:c r="B79" s="30" t="str">
        <x:v>Apr-25</x:v>
      </x:c>
      <x:c r="C79" s="30" t="str">
        <x:v>Credit</x:v>
      </x:c>
      <x:c r="D79" s="19" t="str">
        <x:v>NEFT CR-YESB0000001-VIVISH TECHNOLOGIES PVT LTD-MONT VERT BIARRITZ CO OP HOUSING SO-YESBN52025043008400512</x:v>
      </x:c>
      <x:c r="E79" s="30" t="str">
        <x:v>YESBN52025043008400512</x:v>
      </x:c>
      <x:c r="F79" s="30" t="str">
        <x:v>30/04/25</x:v>
      </x:c>
      <x:c r="G79" s="42"/>
      <x:c r="H79" s="42" t="n">
        <x:v>24500</x:v>
      </x:c>
      <x:c r="I79" s="42" t="n">
        <x:v>565423.52</x:v>
      </x:c>
      <x:c r="J79" s="30" t="str">
        <x:v>Possible collection</x:v>
      </x:c>
      <x:c r="K79" s="30" t="str">
        <x:v>Operating</x:v>
      </x:c>
      <x:c r="L79" s="22" t="str">
        <x:v>Pending source matching</x:v>
      </x:c>
      <x:c r="M79" s="30" t="str">
        <x:v>None</x:v>
      </x:c>
      <x:c r="N79" s="47" t="str">
        <x:v>April2025.xlsx</x:v>
      </x:c>
    </x:row>
    <x:row r="80">
      <x:c r="A80" s="46" t="n">
        <x:v>45776</x:v>
      </x:c>
      <x:c r="B80" s="30" t="str">
        <x:v>Apr-25</x:v>
      </x:c>
      <x:c r="C80" s="30" t="str">
        <x:v>Credit</x:v>
      </x:c>
      <x:c r="D80" s="19" t="str">
        <x:v>NEFT CR-YESB0000001-VIVISH TECHNOLOGIES PVT LTD-MONT VERT BIARRITZ CO OP HOUSING SO-YESBN52025043008400600</x:v>
      </x:c>
      <x:c r="E80" s="30" t="str">
        <x:v>YESBN52025043008400600</x:v>
      </x:c>
      <x:c r="F80" s="30" t="str">
        <x:v>30/04/25</x:v>
      </x:c>
      <x:c r="G80" s="42"/>
      <x:c r="H80" s="42" t="n">
        <x:v>24500</x:v>
      </x:c>
      <x:c r="I80" s="42" t="n">
        <x:v>589923.52</x:v>
      </x:c>
      <x:c r="J80" s="30" t="str">
        <x:v>Possible collection</x:v>
      </x:c>
      <x:c r="K80" s="30" t="str">
        <x:v>Operating</x:v>
      </x:c>
      <x:c r="L80" s="22" t="str">
        <x:v>Pending source matching</x:v>
      </x:c>
      <x:c r="M80" s="30" t="str">
        <x:v>None</x:v>
      </x:c>
      <x:c r="N80" s="47" t="str">
        <x:v>April2025.xlsx</x:v>
      </x:c>
    </x:row>
    <x:row r="81">
      <x:c r="A81" s="46" t="n">
        <x:v>45776</x:v>
      </x:c>
      <x:c r="B81" s="30" t="str">
        <x:v>Apr-25</x:v>
      </x:c>
      <x:c r="C81" s="30" t="str">
        <x:v>Credit</x:v>
      </x:c>
      <x:c r="D81" s="19" t="str">
        <x:v>NEFT CR-YESB0000001-VIVISH TECHNOLOGIES PVT LTD-MONT VERT BIARRITZ CO OP HOUSING SO-YESBN52025043008404981</x:v>
      </x:c>
      <x:c r="E81" s="30" t="str">
        <x:v>YESBN52025043008404981</x:v>
      </x:c>
      <x:c r="F81" s="30" t="str">
        <x:v>30/04/25</x:v>
      </x:c>
      <x:c r="G81" s="42"/>
      <x:c r="H81" s="42" t="n">
        <x:v>26500</x:v>
      </x:c>
      <x:c r="I81" s="42" t="n">
        <x:v>616423.52</x:v>
      </x:c>
      <x:c r="J81" s="30" t="str">
        <x:v>Possible collection</x:v>
      </x:c>
      <x:c r="K81" s="30" t="str">
        <x:v>Operating</x:v>
      </x:c>
      <x:c r="L81" s="22" t="str">
        <x:v>Pending source matching</x:v>
      </x:c>
      <x:c r="M81" s="30" t="str">
        <x:v>None</x:v>
      </x:c>
      <x:c r="N81" s="47" t="str">
        <x:v>April2025.xlsx</x:v>
      </x:c>
    </x:row>
    <x:row r="82">
      <x:c r="A82" s="46" t="n">
        <x:v>45776</x:v>
      </x:c>
      <x:c r="B82" s="30" t="str">
        <x:v>Apr-25</x:v>
      </x:c>
      <x:c r="C82" s="30" t="str">
        <x:v>Credit</x:v>
      </x:c>
      <x:c r="D82" s="19" t="str">
        <x:v>NEFT CR-YESB0000001-VIVISH TECHNOLOGIES PVT LTD-MONT VERT BIARRITZ CO OP HOUSING SO-YESBN52025043008405390</x:v>
      </x:c>
      <x:c r="E82" s="30" t="str">
        <x:v>YESBN52025043008405390</x:v>
      </x:c>
      <x:c r="F82" s="30" t="str">
        <x:v>30/04/25</x:v>
      </x:c>
      <x:c r="G82" s="42"/>
      <x:c r="H82" s="42" t="n">
        <x:v>24500</x:v>
      </x:c>
      <x:c r="I82" s="42" t="n">
        <x:v>640923.52</x:v>
      </x:c>
      <x:c r="J82" s="30" t="str">
        <x:v>Possible collection</x:v>
      </x:c>
      <x:c r="K82" s="30" t="str">
        <x:v>Operating</x:v>
      </x:c>
      <x:c r="L82" s="22" t="str">
        <x:v>Pending source matching</x:v>
      </x:c>
      <x:c r="M82" s="30" t="str">
        <x:v>None</x:v>
      </x:c>
      <x:c r="N82" s="47" t="str">
        <x:v>April2025.xlsx</x:v>
      </x:c>
    </x:row>
    <x:row r="83">
      <x:c r="A83" s="46" t="n">
        <x:v>45776</x:v>
      </x:c>
      <x:c r="B83" s="30" t="str">
        <x:v>Apr-25</x:v>
      </x:c>
      <x:c r="C83" s="30" t="str">
        <x:v>Credit</x:v>
      </x:c>
      <x:c r="D83" s="19" t="str">
        <x:v>NEFT CR-YESB0000001-VIVISH TECHNOLOGIES PVT LTD-MONT VERT BIARRITZ CO OP HOUSING SO-YESBN52025043008405398</x:v>
      </x:c>
      <x:c r="E83" s="30" t="str">
        <x:v>YESBN52025043008405398</x:v>
      </x:c>
      <x:c r="F83" s="30" t="str">
        <x:v>30/04/25</x:v>
      </x:c>
      <x:c r="G83" s="42"/>
      <x:c r="H83" s="42" t="n">
        <x:v>6000</x:v>
      </x:c>
      <x:c r="I83" s="42" t="n">
        <x:v>646923.52</x:v>
      </x:c>
      <x:c r="J83" s="30" t="str">
        <x:v>Possible collection</x:v>
      </x:c>
      <x:c r="K83" s="30" t="str">
        <x:v>Operating</x:v>
      </x:c>
      <x:c r="L83" s="22" t="str">
        <x:v>Pending source matching</x:v>
      </x:c>
      <x:c r="M83" s="30" t="str">
        <x:v>None</x:v>
      </x:c>
      <x:c r="N83" s="47" t="str">
        <x:v>April2025.xlsx</x:v>
      </x:c>
    </x:row>
    <x:row r="84">
      <x:c r="A84" s="46" t="n">
        <x:v>45776</x:v>
      </x:c>
      <x:c r="B84" s="30" t="str">
        <x:v>Apr-25</x:v>
      </x:c>
      <x:c r="C84" s="30" t="str">
        <x:v>Credit</x:v>
      </x:c>
      <x:c r="D84" s="19" t="str">
        <x:v>NEFT CR-YESB0000001-VIVISH TECHNOLOGIES PVT LTD-MONT VERT BIARRITZ CO OP HOUSING SO-YESBN52025043008406143</x:v>
      </x:c>
      <x:c r="E84" s="30" t="str">
        <x:v>YESBN52025043008406143</x:v>
      </x:c>
      <x:c r="F84" s="30" t="str">
        <x:v>30/04/25</x:v>
      </x:c>
      <x:c r="G84" s="42"/>
      <x:c r="H84" s="42" t="n">
        <x:v>24500</x:v>
      </x:c>
      <x:c r="I84" s="42" t="n">
        <x:v>671423.52</x:v>
      </x:c>
      <x:c r="J84" s="30" t="str">
        <x:v>Possible collection</x:v>
      </x:c>
      <x:c r="K84" s="30" t="str">
        <x:v>Operating</x:v>
      </x:c>
      <x:c r="L84" s="22" t="str">
        <x:v>Pending source matching</x:v>
      </x:c>
      <x:c r="M84" s="30" t="str">
        <x:v>None</x:v>
      </x:c>
      <x:c r="N84" s="47" t="str">
        <x:v>April2025.xlsx</x:v>
      </x:c>
    </x:row>
    <x:row r="85">
      <x:c r="A85" s="46" t="n">
        <x:v>45776</x:v>
      </x:c>
      <x:c r="B85" s="30" t="str">
        <x:v>Apr-25</x:v>
      </x:c>
      <x:c r="C85" s="30" t="str">
        <x:v>Credit</x:v>
      </x:c>
      <x:c r="D85" s="19" t="str">
        <x:v>NEFT CR-YESB0000001-VIVISH TECHNOLOGIES PVT LTD-MONT VERT BIARRITZ CO OP HOUSING SO-YESBN52025043008408027</x:v>
      </x:c>
      <x:c r="E85" s="30" t="str">
        <x:v>YESBN52025043008408027</x:v>
      </x:c>
      <x:c r="F85" s="30" t="str">
        <x:v>30/04/25</x:v>
      </x:c>
      <x:c r="G85" s="42"/>
      <x:c r="H85" s="42" t="n">
        <x:v>26500</x:v>
      </x:c>
      <x:c r="I85" s="42" t="n">
        <x:v>697923.52</x:v>
      </x:c>
      <x:c r="J85" s="30" t="str">
        <x:v>Possible collection</x:v>
      </x:c>
      <x:c r="K85" s="30" t="str">
        <x:v>Operating</x:v>
      </x:c>
      <x:c r="L85" s="22" t="str">
        <x:v>Pending source matching</x:v>
      </x:c>
      <x:c r="M85" s="30" t="str">
        <x:v>None</x:v>
      </x:c>
      <x:c r="N85" s="47" t="str">
        <x:v>April2025.xlsx</x:v>
      </x:c>
    </x:row>
    <x:row r="86">
      <x:c r="A86" s="46" t="n">
        <x:v>45776</x:v>
      </x:c>
      <x:c r="B86" s="30" t="str">
        <x:v>Apr-25</x:v>
      </x:c>
      <x:c r="C86" s="30" t="str">
        <x:v>Credit</x:v>
      </x:c>
      <x:c r="D86" s="19" t="str">
        <x:v>NEFT CR-YESB0000001-VIVISH TECHNOLOGIES PVT LTD-MONT VERT BIARRITZ CO OP HOUSING SO-YESBN52025043008407686</x:v>
      </x:c>
      <x:c r="E86" s="30" t="str">
        <x:v>YESBN52025043008407686</x:v>
      </x:c>
      <x:c r="F86" s="30" t="str">
        <x:v>30/04/25</x:v>
      </x:c>
      <x:c r="G86" s="42"/>
      <x:c r="H86" s="42" t="n">
        <x:v>24500</x:v>
      </x:c>
      <x:c r="I86" s="42" t="n">
        <x:v>722423.52</x:v>
      </x:c>
      <x:c r="J86" s="30" t="str">
        <x:v>Possible collection</x:v>
      </x:c>
      <x:c r="K86" s="30" t="str">
        <x:v>Operating</x:v>
      </x:c>
      <x:c r="L86" s="22" t="str">
        <x:v>Pending source matching</x:v>
      </x:c>
      <x:c r="M86" s="30" t="str">
        <x:v>None</x:v>
      </x:c>
      <x:c r="N86" s="47" t="str">
        <x:v>April2025.xlsx</x:v>
      </x:c>
    </x:row>
    <x:row r="87">
      <x:c r="A87" s="46" t="n">
        <x:v>45776</x:v>
      </x:c>
      <x:c r="B87" s="30" t="str">
        <x:v>Apr-25</x:v>
      </x:c>
      <x:c r="C87" s="30" t="str">
        <x:v>Credit</x:v>
      </x:c>
      <x:c r="D87" s="19" t="str">
        <x:v>NEFT CR-YESB0000001-VIVISH TECHNOLOGIES PVT LTD-MONT VERT BIARRITZ CO OP HOUSING SO-YESBN52025043008408816</x:v>
      </x:c>
      <x:c r="E87" s="30" t="str">
        <x:v>YESBN52025043008408816</x:v>
      </x:c>
      <x:c r="F87" s="30" t="str">
        <x:v>30/04/25</x:v>
      </x:c>
      <x:c r="G87" s="42"/>
      <x:c r="H87" s="42" t="n">
        <x:v>26500</x:v>
      </x:c>
      <x:c r="I87" s="42" t="n">
        <x:v>748923.52</x:v>
      </x:c>
      <x:c r="J87" s="30" t="str">
        <x:v>Possible collection</x:v>
      </x:c>
      <x:c r="K87" s="30" t="str">
        <x:v>Operating</x:v>
      </x:c>
      <x:c r="L87" s="22" t="str">
        <x:v>Pending source matching</x:v>
      </x:c>
      <x:c r="M87" s="30" t="str">
        <x:v>None</x:v>
      </x:c>
      <x:c r="N87" s="47" t="str">
        <x:v>April2025.xlsx</x:v>
      </x:c>
    </x:row>
    <x:row r="88">
      <x:c r="A88" s="46" t="n">
        <x:v>45776</x:v>
      </x:c>
      <x:c r="B88" s="30" t="str">
        <x:v>Apr-25</x:v>
      </x:c>
      <x:c r="C88" s="30" t="str">
        <x:v>Credit</x:v>
      </x:c>
      <x:c r="D88" s="19" t="str">
        <x:v>NEFT CR-YESB0000001-VIVISH TECHNOLOGIES PVT LTD-MONT VERT BIARRITZ CO OP HOUSING SO-YESBN52025043008410539</x:v>
      </x:c>
      <x:c r="E88" s="30" t="str">
        <x:v>YESBN52025043008410539</x:v>
      </x:c>
      <x:c r="F88" s="30" t="str">
        <x:v>30/04/25</x:v>
      </x:c>
      <x:c r="G88" s="42"/>
      <x:c r="H88" s="42" t="n">
        <x:v>24500</x:v>
      </x:c>
      <x:c r="I88" s="42" t="n">
        <x:v>773423.52</x:v>
      </x:c>
      <x:c r="J88" s="30" t="str">
        <x:v>Possible collection</x:v>
      </x:c>
      <x:c r="K88" s="30" t="str">
        <x:v>Operating</x:v>
      </x:c>
      <x:c r="L88" s="22" t="str">
        <x:v>Pending source matching</x:v>
      </x:c>
      <x:c r="M88" s="30" t="str">
        <x:v>None</x:v>
      </x:c>
      <x:c r="N88" s="47" t="str">
        <x:v>April2025.xlsx</x:v>
      </x:c>
    </x:row>
    <x:row r="89">
      <x:c r="A89" s="46" t="n">
        <x:v>45776</x:v>
      </x:c>
      <x:c r="B89" s="30" t="str">
        <x:v>Apr-25</x:v>
      </x:c>
      <x:c r="C89" s="30" t="str">
        <x:v>Credit</x:v>
      </x:c>
      <x:c r="D89" s="19" t="str">
        <x:v>NEFT CR-YESB0000001-VIVISH TECHNOLOGIES PVT LTD-MONT VERT BIARRITZ CO OP HOUSING SO-YESBN52025043008411011</x:v>
      </x:c>
      <x:c r="E89" s="30" t="str">
        <x:v>YESBN52025043008411011</x:v>
      </x:c>
      <x:c r="F89" s="30" t="str">
        <x:v>30/04/25</x:v>
      </x:c>
      <x:c r="G89" s="42"/>
      <x:c r="H89" s="42" t="n">
        <x:v>24500</x:v>
      </x:c>
      <x:c r="I89" s="42" t="n">
        <x:v>797923.52</x:v>
      </x:c>
      <x:c r="J89" s="30" t="str">
        <x:v>Possible collection</x:v>
      </x:c>
      <x:c r="K89" s="30" t="str">
        <x:v>Operating</x:v>
      </x:c>
      <x:c r="L89" s="22" t="str">
        <x:v>Pending source matching</x:v>
      </x:c>
      <x:c r="M89" s="30" t="str">
        <x:v>None</x:v>
      </x:c>
      <x:c r="N89" s="47" t="str">
        <x:v>April2025.xlsx</x:v>
      </x:c>
    </x:row>
    <x:row r="90">
      <x:c r="A90" s="46" t="n">
        <x:v>45776</x:v>
      </x:c>
      <x:c r="B90" s="30" t="str">
        <x:v>Apr-25</x:v>
      </x:c>
      <x:c r="C90" s="30" t="str">
        <x:v>Credit</x:v>
      </x:c>
      <x:c r="D90" s="19" t="str">
        <x:v>NEFT CR-YESB0000001-VIVISH TECHNOLOGIES PVT LTD-MONT VERT BIARRITZ CO OP HOUSING SO-YESBN52025043008412046</x:v>
      </x:c>
      <x:c r="E90" s="30" t="str">
        <x:v>YESBN52025043008412046</x:v>
      </x:c>
      <x:c r="F90" s="30" t="str">
        <x:v>30/04/25</x:v>
      </x:c>
      <x:c r="G90" s="42"/>
      <x:c r="H90" s="42" t="n">
        <x:v>24500</x:v>
      </x:c>
      <x:c r="I90" s="42" t="n">
        <x:v>822423.52</x:v>
      </x:c>
      <x:c r="J90" s="30" t="str">
        <x:v>Possible collection</x:v>
      </x:c>
      <x:c r="K90" s="30" t="str">
        <x:v>Operating</x:v>
      </x:c>
      <x:c r="L90" s="22" t="str">
        <x:v>Pending source matching</x:v>
      </x:c>
      <x:c r="M90" s="30" t="str">
        <x:v>None</x:v>
      </x:c>
      <x:c r="N90" s="47" t="str">
        <x:v>April2025.xlsx</x:v>
      </x:c>
    </x:row>
    <x:row r="91">
      <x:c r="A91" s="46" t="n">
        <x:v>45776</x:v>
      </x:c>
      <x:c r="B91" s="30" t="str">
        <x:v>Apr-25</x:v>
      </x:c>
      <x:c r="C91" s="30" t="str">
        <x:v>Credit</x:v>
      </x:c>
      <x:c r="D91" s="19" t="str">
        <x:v>NEFT CR-YESB0000001-VIVISH TECHNOLOGIES PVT LTD-MONT VERT BIARRITZ CO OP HOUSING SO-YESBN52025043008412450</x:v>
      </x:c>
      <x:c r="E91" s="30" t="str">
        <x:v>YESBN52025043008412450</x:v>
      </x:c>
      <x:c r="F91" s="30" t="str">
        <x:v>30/04/25</x:v>
      </x:c>
      <x:c r="G91" s="42"/>
      <x:c r="H91" s="42" t="n">
        <x:v>24500</x:v>
      </x:c>
      <x:c r="I91" s="42" t="n">
        <x:v>846923.52</x:v>
      </x:c>
      <x:c r="J91" s="30" t="str">
        <x:v>Possible collection</x:v>
      </x:c>
      <x:c r="K91" s="30" t="str">
        <x:v>Operating</x:v>
      </x:c>
      <x:c r="L91" s="22" t="str">
        <x:v>Pending source matching</x:v>
      </x:c>
      <x:c r="M91" s="30" t="str">
        <x:v>None</x:v>
      </x:c>
      <x:c r="N91" s="47" t="str">
        <x:v>April2025.xlsx</x:v>
      </x:c>
    </x:row>
    <x:row r="92">
      <x:c r="A92" s="46" t="n">
        <x:v>45776</x:v>
      </x:c>
      <x:c r="B92" s="30" t="str">
        <x:v>Apr-25</x:v>
      </x:c>
      <x:c r="C92" s="30" t="str">
        <x:v>Credit</x:v>
      </x:c>
      <x:c r="D92" s="19" t="str">
        <x:v>NEFT CR-YESB0000001-VIVISH TECHNOLOGIES PVT LTD-MONT VERT BIARRITZ CO OP HOUSING SO-YESBN52025043008412874</x:v>
      </x:c>
      <x:c r="E92" s="30" t="str">
        <x:v>YESBN52025043008412874</x:v>
      </x:c>
      <x:c r="F92" s="30" t="str">
        <x:v>30/04/25</x:v>
      </x:c>
      <x:c r="G92" s="42"/>
      <x:c r="H92" s="42" t="n">
        <x:v>24500</x:v>
      </x:c>
      <x:c r="I92" s="42" t="n">
        <x:v>871423.52</x:v>
      </x:c>
      <x:c r="J92" s="30" t="str">
        <x:v>Possible collection</x:v>
      </x:c>
      <x:c r="K92" s="30" t="str">
        <x:v>Operating</x:v>
      </x:c>
      <x:c r="L92" s="22" t="str">
        <x:v>Pending source matching</x:v>
      </x:c>
      <x:c r="M92" s="30" t="str">
        <x:v>None</x:v>
      </x:c>
      <x:c r="N92" s="47" t="str">
        <x:v>April2025.xlsx</x:v>
      </x:c>
    </x:row>
    <x:row r="93">
      <x:c r="A93" s="46" t="n">
        <x:v>45777</x:v>
      </x:c>
      <x:c r="B93" s="30" t="str">
        <x:v>May-25</x:v>
      </x:c>
      <x:c r="C93" s="30" t="str">
        <x:v>Credit</x:v>
      </x:c>
      <x:c r="D93" s="19" t="str">
        <x:v>UPI SETTLEMENT -DKB258- 01/05/25</x:v>
      </x:c>
      <x:c r="E93" s="30" t="str">
        <x:v>000000000000000</x:v>
      </x:c>
      <x:c r="F93" s="30" t="str">
        <x:v>01/05/25</x:v>
      </x:c>
      <x:c r="G93" s="42"/>
      <x:c r="H93" s="42" t="n">
        <x:v>26124.76</x:v>
      </x:c>
      <x:c r="I93" s="42" t="n">
        <x:v>897548.28</x:v>
      </x:c>
      <x:c r="J93" s="30" t="str">
        <x:v>Possible collection</x:v>
      </x:c>
      <x:c r="K93" s="30" t="str">
        <x:v>Operating</x:v>
      </x:c>
      <x:c r="L93" s="22" t="str">
        <x:v>Pending source matching</x:v>
      </x:c>
      <x:c r="M93" s="30" t="str">
        <x:v>None</x:v>
      </x:c>
      <x:c r="N93" s="47" t="str">
        <x:v>May2025.xlsx</x:v>
      </x:c>
    </x:row>
    <x:row r="94">
      <x:c r="A94" s="46" t="n">
        <x:v>45777</x:v>
      </x:c>
      <x:c r="B94" s="30" t="str">
        <x:v>May-25</x:v>
      </x:c>
      <x:c r="C94" s="30" t="str">
        <x:v>Debit</x:v>
      </x:c>
      <x:c r="D94" s="19" t="str">
        <x:v>FD THROUGH NET-50301152472182:MONT VERT BIARRITZ CO OP HOUSING SOC LTD</x:v>
      </x:c>
      <x:c r="E94" s="30" t="str">
        <x:v>IB01144807156537</x:v>
      </x:c>
      <x:c r="F94" s="30" t="str">
        <x:v>01/05/25</x:v>
      </x:c>
      <x:c r="G94" s="42" t="n">
        <x:v>200000</x:v>
      </x:c>
      <x:c r="H94" s="42"/>
      <x:c r="I94" s="42" t="n">
        <x:v>697548.28</x:v>
      </x:c>
      <x:c r="J94" s="30" t="str">
        <x:v>FD investment</x:v>
      </x:c>
      <x:c r="K94" s="30" t="str">
        <x:v>Investment</x:v>
      </x:c>
      <x:c r="L94" s="22" t="str">
        <x:v>Pending source matching</x:v>
      </x:c>
      <x:c r="M94" s="30" t="str">
        <x:v>None</x:v>
      </x:c>
      <x:c r="N94" s="47" t="str">
        <x:v>May2025.xlsx</x:v>
      </x:c>
    </x:row>
    <x:row r="95">
      <x:c r="A95" s="46" t="n">
        <x:v>45777</x:v>
      </x:c>
      <x:c r="B95" s="30" t="str">
        <x:v>May-25</x:v>
      </x:c>
      <x:c r="C95" s="30" t="str">
        <x:v>Debit</x:v>
      </x:c>
      <x:c r="D95" s="19" t="str">
        <x:v>FD THROUGH NET-50301152473159:MONT VERT BIARRITZ CO OP HOUSING SOC LTD</x:v>
      </x:c>
      <x:c r="E95" s="30" t="str">
        <x:v>IB01144916670686</x:v>
      </x:c>
      <x:c r="F95" s="30" t="str">
        <x:v>01/05/25</x:v>
      </x:c>
      <x:c r="G95" s="42" t="n">
        <x:v>200000</x:v>
      </x:c>
      <x:c r="H95" s="42"/>
      <x:c r="I95" s="42" t="n">
        <x:v>497548.28</x:v>
      </x:c>
      <x:c r="J95" s="30" t="str">
        <x:v>FD investment</x:v>
      </x:c>
      <x:c r="K95" s="30" t="str">
        <x:v>Investment</x:v>
      </x:c>
      <x:c r="L95" s="22" t="str">
        <x:v>Pending source matching</x:v>
      </x:c>
      <x:c r="M95" s="30" t="str">
        <x:v>None</x:v>
      </x:c>
      <x:c r="N95" s="47" t="str">
        <x:v>May2025.xlsx</x:v>
      </x:c>
    </x:row>
    <x:row r="96">
      <x:c r="A96" s="46" t="n">
        <x:v>45778</x:v>
      </x:c>
      <x:c r="B96" s="30" t="str">
        <x:v>May-25</x:v>
      </x:c>
      <x:c r="C96" s="30" t="str">
        <x:v>Credit</x:v>
      </x:c>
      <x:c r="D96" s="19" t="str">
        <x:v>IMPS-512213780201-PRATIMASHAILENDRAKAW-UTIB-XXXXXXXXXXX5548-OTHERSPRATIMAKAWADEMAINTENANCE</x:v>
      </x:c>
      <x:c r="E96" s="30" t="str">
        <x:v>0000512213780201</x:v>
      </x:c>
      <x:c r="F96" s="30" t="str">
        <x:v>02/05/25</x:v>
      </x:c>
      <x:c r="G96" s="42"/>
      <x:c r="H96" s="42" t="n">
        <x:v>26530</x:v>
      </x:c>
      <x:c r="I96" s="42" t="n">
        <x:v>524078.28</x:v>
      </x:c>
      <x:c r="J96" s="30" t="str">
        <x:v>Possible collection</x:v>
      </x:c>
      <x:c r="K96" s="30" t="str">
        <x:v>Operating</x:v>
      </x:c>
      <x:c r="L96" s="22" t="str">
        <x:v>Pending source matching</x:v>
      </x:c>
      <x:c r="M96" s="30" t="str">
        <x:v>None</x:v>
      </x:c>
      <x:c r="N96" s="47" t="str">
        <x:v>May2025.xlsx</x:v>
      </x:c>
    </x:row>
    <x:row r="97">
      <x:c r="A97" s="46" t="n">
        <x:v>45778</x:v>
      </x:c>
      <x:c r="B97" s="30" t="str">
        <x:v>May-25</x:v>
      </x:c>
      <x:c r="C97" s="30" t="str">
        <x:v>Credit</x:v>
      </x:c>
      <x:c r="D97" s="19" t="str">
        <x:v>NEFT CR-YESB0000001-VIVISH TECHNOLOGIES PVT LTD-MONT VERT BIARRITZ CO OP HOUSING SO-YESBN52025050208978115</x:v>
      </x:c>
      <x:c r="E97" s="30" t="str">
        <x:v>YESBN52025050208978115</x:v>
      </x:c>
      <x:c r="F97" s="30" t="str">
        <x:v>02/05/25</x:v>
      </x:c>
      <x:c r="G97" s="42"/>
      <x:c r="H97" s="42" t="n">
        <x:v>24514.09</x:v>
      </x:c>
      <x:c r="I97" s="42" t="n">
        <x:v>548592.37</x:v>
      </x:c>
      <x:c r="J97" s="30" t="str">
        <x:v>Possible collection</x:v>
      </x:c>
      <x:c r="K97" s="30" t="str">
        <x:v>Operating</x:v>
      </x:c>
      <x:c r="L97" s="22" t="str">
        <x:v>Pending source matching</x:v>
      </x:c>
      <x:c r="M97" s="30" t="str">
        <x:v>None</x:v>
      </x:c>
      <x:c r="N97" s="47" t="str">
        <x:v>May2025.xlsx</x:v>
      </x:c>
    </x:row>
    <x:row r="98">
      <x:c r="A98" s="46" t="n">
        <x:v>45778</x:v>
      </x:c>
      <x:c r="B98" s="30" t="str">
        <x:v>May-25</x:v>
      </x:c>
      <x:c r="C98" s="30" t="str">
        <x:v>Credit</x:v>
      </x:c>
      <x:c r="D98" s="19" t="str">
        <x:v>NEFT CR-YESB0000001-VIVISH TECHNOLOGIES PVT LTD-MONT VERT BIARRITZ CO OP HOUSING SO-YESBN52025050208988651</x:v>
      </x:c>
      <x:c r="E98" s="30" t="str">
        <x:v>YESBN52025050208988651</x:v>
      </x:c>
      <x:c r="F98" s="30" t="str">
        <x:v>02/05/25</x:v>
      </x:c>
      <x:c r="G98" s="42"/>
      <x:c r="H98" s="42" t="n">
        <x:v>24514.09</x:v>
      </x:c>
      <x:c r="I98" s="42" t="n">
        <x:v>573106.46</x:v>
      </x:c>
      <x:c r="J98" s="30" t="str">
        <x:v>Possible collection</x:v>
      </x:c>
      <x:c r="K98" s="30" t="str">
        <x:v>Operating</x:v>
      </x:c>
      <x:c r="L98" s="22" t="str">
        <x:v>Pending source matching</x:v>
      </x:c>
      <x:c r="M98" s="30" t="str">
        <x:v>None</x:v>
      </x:c>
      <x:c r="N98" s="47" t="str">
        <x:v>May2025.xlsx</x:v>
      </x:c>
    </x:row>
    <x:row r="99">
      <x:c r="A99" s="46" t="n">
        <x:v>45778</x:v>
      </x:c>
      <x:c r="B99" s="30" t="str">
        <x:v>May-25</x:v>
      </x:c>
      <x:c r="C99" s="30" t="str">
        <x:v>Credit</x:v>
      </x:c>
      <x:c r="D99" s="19" t="str">
        <x:v>NEFT CR-YESB0000001-VIVISH TECHNOLOGIES PVT LTD-MONT VERT BIARRITZ CO OP HOUSING SO-YESBN52025050208994547</x:v>
      </x:c>
      <x:c r="E99" s="30" t="str">
        <x:v>YESBN52025050208994547</x:v>
      </x:c>
      <x:c r="F99" s="30" t="str">
        <x:v>02/05/25</x:v>
      </x:c>
      <x:c r="G99" s="42"/>
      <x:c r="H99" s="42" t="n">
        <x:v>24500</x:v>
      </x:c>
      <x:c r="I99" s="42" t="n">
        <x:v>597606.46</x:v>
      </x:c>
      <x:c r="J99" s="30" t="str">
        <x:v>Possible collection</x:v>
      </x:c>
      <x:c r="K99" s="30" t="str">
        <x:v>Operating</x:v>
      </x:c>
      <x:c r="L99" s="22" t="str">
        <x:v>Pending source matching</x:v>
      </x:c>
      <x:c r="M99" s="30" t="str">
        <x:v>None</x:v>
      </x:c>
      <x:c r="N99" s="47" t="str">
        <x:v>May2025.xlsx</x:v>
      </x:c>
    </x:row>
    <x:row r="100">
      <x:c r="A100" s="46" t="n">
        <x:v>45778</x:v>
      </x:c>
      <x:c r="B100" s="30" t="str">
        <x:v>May-25</x:v>
      </x:c>
      <x:c r="C100" s="30" t="str">
        <x:v>Credit</x:v>
      </x:c>
      <x:c r="D100" s="19" t="str">
        <x:v>NEFT CR-YESB0000001-VIVISH TECHNOLOGIES PVT LTD-MONT VERT BIARRITZ CO OP HOUSING SO-YESBN52025050208995209</x:v>
      </x:c>
      <x:c r="E100" s="30" t="str">
        <x:v>YESBN52025050208995209</x:v>
      </x:c>
      <x:c r="F100" s="30" t="str">
        <x:v>02/05/25</x:v>
      </x:c>
      <x:c r="G100" s="42"/>
      <x:c r="H100" s="42" t="n">
        <x:v>24500</x:v>
      </x:c>
      <x:c r="I100" s="42" t="n">
        <x:v>622106.46</x:v>
      </x:c>
      <x:c r="J100" s="30" t="str">
        <x:v>Possible collection</x:v>
      </x:c>
      <x:c r="K100" s="30" t="str">
        <x:v>Operating</x:v>
      </x:c>
      <x:c r="L100" s="22" t="str">
        <x:v>Pending source matching</x:v>
      </x:c>
      <x:c r="M100" s="30" t="str">
        <x:v>None</x:v>
      </x:c>
      <x:c r="N100" s="47" t="str">
        <x:v>May2025.xlsx</x:v>
      </x:c>
    </x:row>
    <x:row r="101">
      <x:c r="A101" s="46" t="n">
        <x:v>45778</x:v>
      </x:c>
      <x:c r="B101" s="30" t="str">
        <x:v>May-25</x:v>
      </x:c>
      <x:c r="C101" s="30" t="str">
        <x:v>Credit</x:v>
      </x:c>
      <x:c r="D101" s="19" t="str">
        <x:v>NEFT CR-YESB0000001-VIVISH TECHNOLOGIES PVT LTD-MONT VERT BIARRITZ CO OP HOUSING SO-YESBN52025050209004184</x:v>
      </x:c>
      <x:c r="E101" s="30" t="str">
        <x:v>YESBN52025050209004184</x:v>
      </x:c>
      <x:c r="F101" s="30" t="str">
        <x:v>02/05/25</x:v>
      </x:c>
      <x:c r="G101" s="42"/>
      <x:c r="H101" s="42" t="n">
        <x:v>24500</x:v>
      </x:c>
      <x:c r="I101" s="42" t="n">
        <x:v>646606.46</x:v>
      </x:c>
      <x:c r="J101" s="30" t="str">
        <x:v>Possible collection</x:v>
      </x:c>
      <x:c r="K101" s="30" t="str">
        <x:v>Operating</x:v>
      </x:c>
      <x:c r="L101" s="22" t="str">
        <x:v>Pending source matching</x:v>
      </x:c>
      <x:c r="M101" s="30" t="str">
        <x:v>None</x:v>
      </x:c>
      <x:c r="N101" s="47" t="str">
        <x:v>May2025.xlsx</x:v>
      </x:c>
    </x:row>
    <x:row r="102">
      <x:c r="A102" s="46" t="n">
        <x:v>45778</x:v>
      </x:c>
      <x:c r="B102" s="30" t="str">
        <x:v>May-25</x:v>
      </x:c>
      <x:c r="C102" s="30" t="str">
        <x:v>Credit</x:v>
      </x:c>
      <x:c r="D102" s="19" t="str">
        <x:v>NEFT CR-YESB0000001-VIVISH TECHNOLOGIES PVT LTD-MONT VERT BIARRITZ CO OP HOUSING SO-YESBN52025050209005821</x:v>
      </x:c>
      <x:c r="E102" s="30" t="str">
        <x:v>YESBN52025050209005821</x:v>
      </x:c>
      <x:c r="F102" s="30" t="str">
        <x:v>02/05/25</x:v>
      </x:c>
      <x:c r="G102" s="42"/>
      <x:c r="H102" s="42" t="n">
        <x:v>24500</x:v>
      </x:c>
      <x:c r="I102" s="42" t="n">
        <x:v>671106.46</x:v>
      </x:c>
      <x:c r="J102" s="30" t="str">
        <x:v>Possible collection</x:v>
      </x:c>
      <x:c r="K102" s="30" t="str">
        <x:v>Operating</x:v>
      </x:c>
      <x:c r="L102" s="22" t="str">
        <x:v>Pending source matching</x:v>
      </x:c>
      <x:c r="M102" s="30" t="str">
        <x:v>None</x:v>
      </x:c>
      <x:c r="N102" s="47" t="str">
        <x:v>May2025.xlsx</x:v>
      </x:c>
    </x:row>
    <x:row r="103">
      <x:c r="A103" s="46" t="n">
        <x:v>45778</x:v>
      </x:c>
      <x:c r="B103" s="30" t="str">
        <x:v>May-25</x:v>
      </x:c>
      <x:c r="C103" s="30" t="str">
        <x:v>Credit</x:v>
      </x:c>
      <x:c r="D103" s="19" t="str">
        <x:v>NEFT CR-YESB0000001-VIVISH TECHNOLOGIES PVT LTD-MONT VERT BIARRITZ CO OP HOUSING SO-YESBN52025050209009442</x:v>
      </x:c>
      <x:c r="E103" s="30" t="str">
        <x:v>YESBN52025050209009442</x:v>
      </x:c>
      <x:c r="F103" s="30" t="str">
        <x:v>02/05/25</x:v>
      </x:c>
      <x:c r="G103" s="42"/>
      <x:c r="H103" s="42" t="n">
        <x:v>24500</x:v>
      </x:c>
      <x:c r="I103" s="42" t="n">
        <x:v>695606.46</x:v>
      </x:c>
      <x:c r="J103" s="30" t="str">
        <x:v>Possible collection</x:v>
      </x:c>
      <x:c r="K103" s="30" t="str">
        <x:v>Operating</x:v>
      </x:c>
      <x:c r="L103" s="22" t="str">
        <x:v>Pending source matching</x:v>
      </x:c>
      <x:c r="M103" s="30" t="str">
        <x:v>None</x:v>
      </x:c>
      <x:c r="N103" s="47" t="str">
        <x:v>May2025.xlsx</x:v>
      </x:c>
    </x:row>
    <x:row r="104">
      <x:c r="A104" s="46" t="n">
        <x:v>45778</x:v>
      </x:c>
      <x:c r="B104" s="30" t="str">
        <x:v>May-25</x:v>
      </x:c>
      <x:c r="C104" s="30" t="str">
        <x:v>Debit</x:v>
      </x:c>
      <x:c r="D104" s="19" t="str">
        <x:v>BHDFW2R0JTZDJX/BILLDKPUNEMUNICIPALC</x:v>
      </x:c>
      <x:c r="E104" s="30" t="str">
        <x:v>0000251224446001</x:v>
      </x:c>
      <x:c r="F104" s="30" t="str">
        <x:v>02/05/25</x:v>
      </x:c>
      <x:c r="G104" s="42" t="n">
        <x:v>18249</x:v>
      </x:c>
      <x:c r="H104" s="42"/>
      <x:c r="I104" s="42" t="n">
        <x:v>677357.46</x:v>
      </x:c>
      <x:c r="J104" s="30" t="str">
        <x:v>Possible vendor / operating payment</x:v>
      </x:c>
      <x:c r="K104" s="30" t="str">
        <x:v>Operating</x:v>
      </x:c>
      <x:c r="L104" s="22" t="str">
        <x:v>Pending source matching</x:v>
      </x:c>
      <x:c r="M104" s="30" t="str">
        <x:v>None</x:v>
      </x:c>
      <x:c r="N104" s="47" t="str">
        <x:v>May2025.xlsx</x:v>
      </x:c>
    </x:row>
    <x:row r="105">
      <x:c r="A105" s="46" t="n">
        <x:v>45779</x:v>
      </x:c>
      <x:c r="B105" s="30" t="str">
        <x:v>May-25</x:v>
      </x:c>
      <x:c r="C105" s="30" t="str">
        <x:v>Debit</x:v>
      </x:c>
      <x:c r="D105" s="19" t="str">
        <x:v>CHQ PAID-MICR CTS-MU-MUSKAN SALES</x:v>
      </x:c>
      <x:c r="E105" s="30" t="str">
        <x:v>0000000000000746</x:v>
      </x:c>
      <x:c r="F105" s="30" t="str">
        <x:v>03/05/25</x:v>
      </x:c>
      <x:c r="G105" s="42" t="n">
        <x:v>41250</x:v>
      </x:c>
      <x:c r="H105" s="42"/>
      <x:c r="I105" s="42" t="n">
        <x:v>636107.46</x:v>
      </x:c>
      <x:c r="J105" s="30" t="str">
        <x:v>Possible vendor / operating payment</x:v>
      </x:c>
      <x:c r="K105" s="30" t="str">
        <x:v>Operating</x:v>
      </x:c>
      <x:c r="L105" s="22" t="str">
        <x:v>Pending source matching</x:v>
      </x:c>
      <x:c r="M105" s="30" t="str">
        <x:v>None</x:v>
      </x:c>
      <x:c r="N105" s="47" t="str">
        <x:v>May2025.xlsx</x:v>
      </x:c>
    </x:row>
    <x:row r="106">
      <x:c r="A106" s="46" t="n">
        <x:v>45779</x:v>
      </x:c>
      <x:c r="B106" s="30" t="str">
        <x:v>May-25</x:v>
      </x:c>
      <x:c r="C106" s="30" t="str">
        <x:v>Credit</x:v>
      </x:c>
      <x:c r="D106" s="19" t="str">
        <x:v>NEFT CR-YESB0000001-VIVISH TECHNOLOGIES PVT LTD-MONT VERT BIARRITZ CO OP HOUSING SO-YESBN52025050309352356</x:v>
      </x:c>
      <x:c r="E106" s="30" t="str">
        <x:v>YESBN52025050309352356</x:v>
      </x:c>
      <x:c r="F106" s="30" t="str">
        <x:v>03/05/25</x:v>
      </x:c>
      <x:c r="G106" s="42"/>
      <x:c r="H106" s="42" t="n">
        <x:v>24528.18</x:v>
      </x:c>
      <x:c r="I106" s="42" t="n">
        <x:v>660635.64</x:v>
      </x:c>
      <x:c r="J106" s="30" t="str">
        <x:v>Possible collection</x:v>
      </x:c>
      <x:c r="K106" s="30" t="str">
        <x:v>Operating</x:v>
      </x:c>
      <x:c r="L106" s="22" t="str">
        <x:v>Pending source matching</x:v>
      </x:c>
      <x:c r="M106" s="30" t="str">
        <x:v>None</x:v>
      </x:c>
      <x:c r="N106" s="47" t="str">
        <x:v>May2025.xlsx</x:v>
      </x:c>
    </x:row>
    <x:row r="107">
      <x:c r="A107" s="46" t="n">
        <x:v>45779</x:v>
      </x:c>
      <x:c r="B107" s="30" t="str">
        <x:v>May-25</x:v>
      </x:c>
      <x:c r="C107" s="30" t="str">
        <x:v>Credit</x:v>
      </x:c>
      <x:c r="D107" s="19" t="str">
        <x:v>NEFT CR-YESB0000001-VIVISH TECHNOLOGIES PVT LTD-MONT VERT BIARRITZ CO OP HOUSING SO-YESBN52025050309354660</x:v>
      </x:c>
      <x:c r="E107" s="30" t="str">
        <x:v>YESBN52025050309354660</x:v>
      </x:c>
      <x:c r="F107" s="30" t="str">
        <x:v>03/05/25</x:v>
      </x:c>
      <x:c r="G107" s="42"/>
      <x:c r="H107" s="42" t="n">
        <x:v>24528.18</x:v>
      </x:c>
      <x:c r="I107" s="42" t="n">
        <x:v>685163.82</x:v>
      </x:c>
      <x:c r="J107" s="30" t="str">
        <x:v>Possible collection</x:v>
      </x:c>
      <x:c r="K107" s="30" t="str">
        <x:v>Operating</x:v>
      </x:c>
      <x:c r="L107" s="22" t="str">
        <x:v>Pending source matching</x:v>
      </x:c>
      <x:c r="M107" s="30" t="str">
        <x:v>None</x:v>
      </x:c>
      <x:c r="N107" s="47" t="str">
        <x:v>May2025.xlsx</x:v>
      </x:c>
    </x:row>
    <x:row r="108">
      <x:c r="A108" s="46" t="n">
        <x:v>45781</x:v>
      </x:c>
      <x:c r="B108" s="30" t="str">
        <x:v>May-25</x:v>
      </x:c>
      <x:c r="C108" s="30" t="str">
        <x:v>Credit</x:v>
      </x:c>
      <x:c r="D108" s="19" t="str">
        <x:v>UPI SETTLEMENT -DKB258- 05/05/25</x:v>
      </x:c>
      <x:c r="E108" s="30" t="str">
        <x:v>000000000000000</x:v>
      </x:c>
      <x:c r="F108" s="30" t="str">
        <x:v>05/05/25</x:v>
      </x:c>
      <x:c r="G108" s="42"/>
      <x:c r="H108" s="42" t="n">
        <x:v>1300</x:v>
      </x:c>
      <x:c r="I108" s="42" t="n">
        <x:v>686463.82</x:v>
      </x:c>
      <x:c r="J108" s="30" t="str">
        <x:v>Possible collection</x:v>
      </x:c>
      <x:c r="K108" s="30" t="str">
        <x:v>Operating</x:v>
      </x:c>
      <x:c r="L108" s="22" t="str">
        <x:v>Pending source matching</x:v>
      </x:c>
      <x:c r="M108" s="30" t="str">
        <x:v>None</x:v>
      </x:c>
      <x:c r="N108" s="47" t="str">
        <x:v>May2025.xlsx</x:v>
      </x:c>
    </x:row>
    <x:row r="109">
      <x:c r="A109" s="46" t="n">
        <x:v>45781</x:v>
      </x:c>
      <x:c r="B109" s="30" t="str">
        <x:v>May-25</x:v>
      </x:c>
      <x:c r="C109" s="30" t="str">
        <x:v>Credit</x:v>
      </x:c>
      <x:c r="D109" s="19" t="str">
        <x:v>NEFT CR-YESB0000001-VIVISH TECHNOLOGIES PVT LTD-MONT VERT BIARRITZ CO OP HOUSING SO-YESBN52025050509933225</x:v>
      </x:c>
      <x:c r="E109" s="30" t="str">
        <x:v>YESBN52025050509933225</x:v>
      </x:c>
      <x:c r="F109" s="30" t="str">
        <x:v>05/05/25</x:v>
      </x:c>
      <x:c r="G109" s="42"/>
      <x:c r="H109" s="42" t="n">
        <x:v>30542.27</x:v>
      </x:c>
      <x:c r="I109" s="42" t="n">
        <x:v>717006.09</x:v>
      </x:c>
      <x:c r="J109" s="30" t="str">
        <x:v>Possible collection</x:v>
      </x:c>
      <x:c r="K109" s="30" t="str">
        <x:v>Operating</x:v>
      </x:c>
      <x:c r="L109" s="22" t="str">
        <x:v>Pending source matching</x:v>
      </x:c>
      <x:c r="M109" s="30" t="str">
        <x:v>None</x:v>
      </x:c>
      <x:c r="N109" s="47" t="str">
        <x:v>May2025.xlsx</x:v>
      </x:c>
    </x:row>
    <x:row r="110">
      <x:c r="A110" s="46" t="n">
        <x:v>45781</x:v>
      </x:c>
      <x:c r="B110" s="30" t="str">
        <x:v>May-25</x:v>
      </x:c>
      <x:c r="C110" s="30" t="str">
        <x:v>Credit</x:v>
      </x:c>
      <x:c r="D110" s="19" t="str">
        <x:v>NEFT CR-YESB0000001-VIVISH TECHNOLOGIES PVT LTD-MONT VERT BIARRITZ CO OP HOUSING SO-YESBN52025050509939756</x:v>
      </x:c>
      <x:c r="E110" s="30" t="str">
        <x:v>YESBN52025050509939756</x:v>
      </x:c>
      <x:c r="F110" s="30" t="str">
        <x:v>05/05/25</x:v>
      </x:c>
      <x:c r="G110" s="42"/>
      <x:c r="H110" s="42" t="n">
        <x:v>24542.27</x:v>
      </x:c>
      <x:c r="I110" s="42" t="n">
        <x:v>741548.36</x:v>
      </x:c>
      <x:c r="J110" s="30" t="str">
        <x:v>Possible collection</x:v>
      </x:c>
      <x:c r="K110" s="30" t="str">
        <x:v>Operating</x:v>
      </x:c>
      <x:c r="L110" s="22" t="str">
        <x:v>Pending source matching</x:v>
      </x:c>
      <x:c r="M110" s="30" t="str">
        <x:v>None</x:v>
      </x:c>
      <x:c r="N110" s="47" t="str">
        <x:v>May2025.xlsx</x:v>
      </x:c>
    </x:row>
    <x:row r="111">
      <x:c r="A111" s="46" t="n">
        <x:v>45781</x:v>
      </x:c>
      <x:c r="B111" s="30" t="str">
        <x:v>May-25</x:v>
      </x:c>
      <x:c r="C111" s="30" t="str">
        <x:v>Credit</x:v>
      </x:c>
      <x:c r="D111" s="19" t="str">
        <x:v>NEFT CR-YESB0000001-VIVISH TECHNOLOGIES PVT LTD-MONT VERT BIARRITZ CO OP HOUSING SO-YESBN52025050509940334</x:v>
      </x:c>
      <x:c r="E111" s="30" t="str">
        <x:v>YESBN52025050509940334</x:v>
      </x:c>
      <x:c r="F111" s="30" t="str">
        <x:v>05/05/25</x:v>
      </x:c>
      <x:c r="G111" s="42"/>
      <x:c r="H111" s="42" t="n">
        <x:v>24542.27</x:v>
      </x:c>
      <x:c r="I111" s="42" t="n">
        <x:v>766090.63</x:v>
      </x:c>
      <x:c r="J111" s="30" t="str">
        <x:v>Possible collection</x:v>
      </x:c>
      <x:c r="K111" s="30" t="str">
        <x:v>Operating</x:v>
      </x:c>
      <x:c r="L111" s="22" t="str">
        <x:v>Pending source matching</x:v>
      </x:c>
      <x:c r="M111" s="30" t="str">
        <x:v>None</x:v>
      </x:c>
      <x:c r="N111" s="47" t="str">
        <x:v>May2025.xlsx</x:v>
      </x:c>
    </x:row>
    <x:row r="112">
      <x:c r="A112" s="46" t="n">
        <x:v>45781</x:v>
      </x:c>
      <x:c r="B112" s="30" t="str">
        <x:v>May-25</x:v>
      </x:c>
      <x:c r="C112" s="30" t="str">
        <x:v>Credit</x:v>
      </x:c>
      <x:c r="D112" s="19" t="str">
        <x:v>NEFT CR-YESB0000001-VIVISH TECHNOLOGIES PVT LTD-MONT VERT BIARRITZ CO OP HOUSING SO-YESBN52025050509949239</x:v>
      </x:c>
      <x:c r="E112" s="30" t="str">
        <x:v>YESBN52025050509949239</x:v>
      </x:c>
      <x:c r="F112" s="30" t="str">
        <x:v>05/05/25</x:v>
      </x:c>
      <x:c r="G112" s="42"/>
      <x:c r="H112" s="42" t="n">
        <x:v>26545.72</x:v>
      </x:c>
      <x:c r="I112" s="42" t="n">
        <x:v>792636.35</x:v>
      </x:c>
      <x:c r="J112" s="30" t="str">
        <x:v>Possible collection</x:v>
      </x:c>
      <x:c r="K112" s="30" t="str">
        <x:v>Operating</x:v>
      </x:c>
      <x:c r="L112" s="22" t="str">
        <x:v>Pending source matching</x:v>
      </x:c>
      <x:c r="M112" s="30" t="str">
        <x:v>None</x:v>
      </x:c>
      <x:c r="N112" s="47" t="str">
        <x:v>May2025.xlsx</x:v>
      </x:c>
    </x:row>
    <x:row r="113">
      <x:c r="A113" s="46" t="n">
        <x:v>45782</x:v>
      </x:c>
      <x:c r="B113" s="30" t="str">
        <x:v>May-25</x:v>
      </x:c>
      <x:c r="C113" s="30" t="str">
        <x:v>Credit</x:v>
      </x:c>
      <x:c r="D113" s="19" t="str">
        <x:v>UPI SETTLEMENT -DKB258- 06/05/25</x:v>
      </x:c>
      <x:c r="E113" s="30" t="str">
        <x:v>000000000000000</x:v>
      </x:c>
      <x:c r="F113" s="30" t="str">
        <x:v>06/05/25</x:v>
      </x:c>
      <x:c r="G113" s="42"/>
      <x:c r="H113" s="42" t="n">
        <x:v>32750</x:v>
      </x:c>
      <x:c r="I113" s="42" t="n">
        <x:v>825386.35</x:v>
      </x:c>
      <x:c r="J113" s="30" t="str">
        <x:v>Possible collection</x:v>
      </x:c>
      <x:c r="K113" s="30" t="str">
        <x:v>Operating</x:v>
      </x:c>
      <x:c r="L113" s="22" t="str">
        <x:v>Pending source matching</x:v>
      </x:c>
      <x:c r="M113" s="30" t="str">
        <x:v>None</x:v>
      </x:c>
      <x:c r="N113" s="47" t="str">
        <x:v>May2025.xlsx</x:v>
      </x:c>
    </x:row>
    <x:row r="114">
      <x:c r="A114" s="46" t="n">
        <x:v>45782</x:v>
      </x:c>
      <x:c r="B114" s="30" t="str">
        <x:v>May-25</x:v>
      </x:c>
      <x:c r="C114" s="30" t="str">
        <x:v>Debit</x:v>
      </x:c>
      <x:c r="D114" s="19" t="str">
        <x:v>SELF - CHQ PAID - PASHAN - PUN</x:v>
      </x:c>
      <x:c r="E114" s="30" t="str">
        <x:v>0000000000000753</x:v>
      </x:c>
      <x:c r="F114" s="30" t="str">
        <x:v>06/05/25</x:v>
      </x:c>
      <x:c r="G114" s="42" t="n">
        <x:v>10000</x:v>
      </x:c>
      <x:c r="H114" s="42"/>
      <x:c r="I114" s="42" t="n">
        <x:v>815386.35</x:v>
      </x:c>
      <x:c r="J114" s="30" t="str">
        <x:v>Possible vendor / operating payment</x:v>
      </x:c>
      <x:c r="K114" s="30" t="str">
        <x:v>Operating</x:v>
      </x:c>
      <x:c r="L114" s="22" t="str">
        <x:v>Pending source matching</x:v>
      </x:c>
      <x:c r="M114" s="30" t="str">
        <x:v>None</x:v>
      </x:c>
      <x:c r="N114" s="47" t="str">
        <x:v>May2025.xlsx</x:v>
      </x:c>
    </x:row>
    <x:row r="115">
      <x:c r="A115" s="46" t="n">
        <x:v>45782</x:v>
      </x:c>
      <x:c r="B115" s="30" t="str">
        <x:v>May-25</x:v>
      </x:c>
      <x:c r="C115" s="30" t="str">
        <x:v>Credit</x:v>
      </x:c>
      <x:c r="D115" s="19" t="str">
        <x:v>NEFT CR-YESB0000001-VIVISH TECHNOLOGIES PVT LTD-MONT VERT BIARRITZ CO OP HOUSING SO-YESBN52025050600284259</x:v>
      </x:c>
      <x:c r="E115" s="30" t="str">
        <x:v>YESBN52025050600284259</x:v>
      </x:c>
      <x:c r="F115" s="30" t="str">
        <x:v>06/05/25</x:v>
      </x:c>
      <x:c r="G115" s="42"/>
      <x:c r="H115" s="42" t="n">
        <x:v>24570.45</x:v>
      </x:c>
      <x:c r="I115" s="42" t="n">
        <x:v>839956.8</x:v>
      </x:c>
      <x:c r="J115" s="30" t="str">
        <x:v>Possible collection</x:v>
      </x:c>
      <x:c r="K115" s="30" t="str">
        <x:v>Operating</x:v>
      </x:c>
      <x:c r="L115" s="22" t="str">
        <x:v>Pending source matching</x:v>
      </x:c>
      <x:c r="M115" s="30" t="str">
        <x:v>None</x:v>
      </x:c>
      <x:c r="N115" s="47" t="str">
        <x:v>May2025.xlsx</x:v>
      </x:c>
    </x:row>
    <x:row r="116">
      <x:c r="A116" s="46" t="n">
        <x:v>45783</x:v>
      </x:c>
      <x:c r="B116" s="30" t="str">
        <x:v>May-25</x:v>
      </x:c>
      <x:c r="C116" s="30" t="str">
        <x:v>Credit</x:v>
      </x:c>
      <x:c r="D116" s="19" t="str">
        <x:v>UPI SETTLEMENT -DKB258- 07/05/25</x:v>
      </x:c>
      <x:c r="E116" s="30" t="str">
        <x:v>000000000000000</x:v>
      </x:c>
      <x:c r="F116" s="30" t="str">
        <x:v>07/05/25</x:v>
      </x:c>
      <x:c r="G116" s="42"/>
      <x:c r="H116" s="42" t="n">
        <x:v>100</x:v>
      </x:c>
      <x:c r="I116" s="42" t="n">
        <x:v>840056.8</x:v>
      </x:c>
      <x:c r="J116" s="30" t="str">
        <x:v>Possible collection</x:v>
      </x:c>
      <x:c r="K116" s="30" t="str">
        <x:v>Operating</x:v>
      </x:c>
      <x:c r="L116" s="22" t="str">
        <x:v>Pending source matching</x:v>
      </x:c>
      <x:c r="M116" s="30" t="str">
        <x:v>None</x:v>
      </x:c>
      <x:c r="N116" s="47" t="str">
        <x:v>May2025.xlsx</x:v>
      </x:c>
    </x:row>
    <x:row r="117">
      <x:c r="A117" s="46" t="n">
        <x:v>45784</x:v>
      </x:c>
      <x:c r="B117" s="30" t="str">
        <x:v>May-25</x:v>
      </x:c>
      <x:c r="C117" s="30" t="str">
        <x:v>Debit</x:v>
      </x:c>
      <x:c r="D117" s="19" t="str">
        <x:v>CHQ PAID-MICR CTS-RK-DEEPAK QUINAS</x:v>
      </x:c>
      <x:c r="E117" s="30" t="str">
        <x:v>0000000000000750</x:v>
      </x:c>
      <x:c r="F117" s="30" t="str">
        <x:v>08/05/25</x:v>
      </x:c>
      <x:c r="G117" s="42" t="n">
        <x:v>24500</x:v>
      </x:c>
      <x:c r="H117" s="42"/>
      <x:c r="I117" s="42" t="n">
        <x:v>815556.8</x:v>
      </x:c>
      <x:c r="J117" s="30" t="str">
        <x:v>Possible vendor / operating payment</x:v>
      </x:c>
      <x:c r="K117" s="30" t="str">
        <x:v>Operating</x:v>
      </x:c>
      <x:c r="L117" s="22" t="str">
        <x:v>Pending source matching</x:v>
      </x:c>
      <x:c r="M117" s="30" t="str">
        <x:v>None</x:v>
      </x:c>
      <x:c r="N117" s="47" t="str">
        <x:v>May2025.xlsx</x:v>
      </x:c>
    </x:row>
    <x:row r="118">
      <x:c r="A118" s="46" t="n">
        <x:v>45784</x:v>
      </x:c>
      <x:c r="B118" s="30" t="str">
        <x:v>May-25</x:v>
      </x:c>
      <x:c r="C118" s="30" t="str">
        <x:v>Debit</x:v>
      </x:c>
      <x:c r="D118" s="19" t="str">
        <x:v>MAHANTESH - CHQ PAID - PASHAN - PUN</x:v>
      </x:c>
      <x:c r="E118" s="30" t="str">
        <x:v>0000000000000754</x:v>
      </x:c>
      <x:c r="F118" s="30" t="str">
        <x:v>08/05/25</x:v>
      </x:c>
      <x:c r="G118" s="42" t="n">
        <x:v>4000</x:v>
      </x:c>
      <x:c r="H118" s="42"/>
      <x:c r="I118" s="42" t="n">
        <x:v>811556.8</x:v>
      </x:c>
      <x:c r="J118" s="30" t="str">
        <x:v>Possible vendor / operating payment</x:v>
      </x:c>
      <x:c r="K118" s="30" t="str">
        <x:v>Operating</x:v>
      </x:c>
      <x:c r="L118" s="22" t="str">
        <x:v>Pending source matching</x:v>
      </x:c>
      <x:c r="M118" s="30" t="str">
        <x:v>None</x:v>
      </x:c>
      <x:c r="N118" s="47" t="str">
        <x:v>May2025.xlsx</x:v>
      </x:c>
    </x:row>
    <x:row r="119">
      <x:c r="A119" s="46" t="n">
        <x:v>45784</x:v>
      </x:c>
      <x:c r="B119" s="30" t="str">
        <x:v>May-25</x:v>
      </x:c>
      <x:c r="C119" s="30" t="str">
        <x:v>Debit</x:v>
      </x:c>
      <x:c r="D119" s="19" t="str">
        <x:v>BHAGWAT GAVIND FASAGE - CHQ PAID - PASHAN - PUN</x:v>
      </x:c>
      <x:c r="E119" s="30" t="str">
        <x:v>0000000000000747</x:v>
      </x:c>
      <x:c r="F119" s="30" t="str">
        <x:v>08/05/25</x:v>
      </x:c>
      <x:c r="G119" s="42" t="n">
        <x:v>4500</x:v>
      </x:c>
      <x:c r="H119" s="42"/>
      <x:c r="I119" s="42" t="n">
        <x:v>807056.8</x:v>
      </x:c>
      <x:c r="J119" s="30" t="str">
        <x:v>Possible vendor / operating payment</x:v>
      </x:c>
      <x:c r="K119" s="30" t="str">
        <x:v>Operating</x:v>
      </x:c>
      <x:c r="L119" s="22" t="str">
        <x:v>Pending source matching</x:v>
      </x:c>
      <x:c r="M119" s="30" t="str">
        <x:v>None</x:v>
      </x:c>
      <x:c r="N119" s="47" t="str">
        <x:v>May2025.xlsx</x:v>
      </x:c>
    </x:row>
    <x:row r="120">
      <x:c r="A120" s="46" t="n">
        <x:v>45785</x:v>
      </x:c>
      <x:c r="B120" s="30" t="str">
        <x:v>May-25</x:v>
      </x:c>
      <x:c r="C120" s="30" t="str">
        <x:v>Debit</x:v>
      </x:c>
      <x:c r="D120" s="19" t="str">
        <x:v>DEEPAK B GAIKWAD - CHQ PAID - PASHAN - PUN</x:v>
      </x:c>
      <x:c r="E120" s="30" t="str">
        <x:v>0000000000000757</x:v>
      </x:c>
      <x:c r="F120" s="30" t="str">
        <x:v>09/05/25</x:v>
      </x:c>
      <x:c r="G120" s="42" t="n">
        <x:v>8050</x:v>
      </x:c>
      <x:c r="H120" s="42"/>
      <x:c r="I120" s="42" t="n">
        <x:v>799006.8</x:v>
      </x:c>
      <x:c r="J120" s="30" t="str">
        <x:v>Possible vendor / operating payment</x:v>
      </x:c>
      <x:c r="K120" s="30" t="str">
        <x:v>Operating</x:v>
      </x:c>
      <x:c r="L120" s="22" t="str">
        <x:v>Pending source matching</x:v>
      </x:c>
      <x:c r="M120" s="30" t="str">
        <x:v>None</x:v>
      </x:c>
      <x:c r="N120" s="47" t="str">
        <x:v>May2025.xlsx</x:v>
      </x:c>
    </x:row>
    <x:row r="121">
      <x:c r="A121" s="46" t="n">
        <x:v>45786</x:v>
      </x:c>
      <x:c r="B121" s="30" t="str">
        <x:v>May-25</x:v>
      </x:c>
      <x:c r="C121" s="30" t="str">
        <x:v>Debit</x:v>
      </x:c>
      <x:c r="D121" s="19" t="str">
        <x:v>FD THROUGH NET-50301157693611:MONT VERT BIARRITZ CO OP HOUSING SOC LTD</x:v>
      </x:c>
      <x:c r="E121" s="30" t="str">
        <x:v>IB10112807742999</x:v>
      </x:c>
      <x:c r="F121" s="30" t="str">
        <x:v>10/05/25</x:v>
      </x:c>
      <x:c r="G121" s="42" t="n">
        <x:v>200000</x:v>
      </x:c>
      <x:c r="H121" s="42"/>
      <x:c r="I121" s="42" t="n">
        <x:v>599006.8</x:v>
      </x:c>
      <x:c r="J121" s="30" t="str">
        <x:v>FD investment</x:v>
      </x:c>
      <x:c r="K121" s="30" t="str">
        <x:v>Investment</x:v>
      </x:c>
      <x:c r="L121" s="22" t="str">
        <x:v>Pending source matching</x:v>
      </x:c>
      <x:c r="M121" s="30" t="str">
        <x:v>None</x:v>
      </x:c>
      <x:c r="N121" s="47" t="str">
        <x:v>May2025.xlsx</x:v>
      </x:c>
    </x:row>
    <x:row r="122">
      <x:c r="A122" s="46" t="n">
        <x:v>45786</x:v>
      </x:c>
      <x:c r="B122" s="30" t="str">
        <x:v>May-25</x:v>
      </x:c>
      <x:c r="C122" s="30" t="str">
        <x:v>Debit</x:v>
      </x:c>
      <x:c r="D122" s="19" t="str">
        <x:v>6708596435527/SBIEPYHIGHTENSIONHTP</x:v>
      </x:c>
      <x:c r="E122" s="30" t="str">
        <x:v>0000251307062925</x:v>
      </x:c>
      <x:c r="F122" s="30" t="str">
        <x:v>10/05/25</x:v>
      </x:c>
      <x:c r="G122" s="42" t="n">
        <x:v>17510</x:v>
      </x:c>
      <x:c r="H122" s="42"/>
      <x:c r="I122" s="42" t="n">
        <x:v>581496.8</x:v>
      </x:c>
      <x:c r="J122" s="30" t="str">
        <x:v>Possible vendor / operating payment</x:v>
      </x:c>
      <x:c r="K122" s="30" t="str">
        <x:v>Operating</x:v>
      </x:c>
      <x:c r="L122" s="22" t="str">
        <x:v>Pending source matching</x:v>
      </x:c>
      <x:c r="M122" s="30" t="str">
        <x:v>None</x:v>
      </x:c>
      <x:c r="N122" s="47" t="str">
        <x:v>May2025.xlsx</x:v>
      </x:c>
    </x:row>
    <x:row r="123">
      <x:c r="A123" s="46" t="n">
        <x:v>45786</x:v>
      </x:c>
      <x:c r="B123" s="30" t="str">
        <x:v>May-25</x:v>
      </x:c>
      <x:c r="C123" s="30" t="str">
        <x:v>Debit</x:v>
      </x:c>
      <x:c r="D123" s="19" t="str">
        <x:v>4752055076127/SBIEPYHIGHTENSIONHTP</x:v>
      </x:c>
      <x:c r="E123" s="30" t="str">
        <x:v>0000251307062959</x:v>
      </x:c>
      <x:c r="F123" s="30" t="str">
        <x:v>10/05/25</x:v>
      </x:c>
      <x:c r="G123" s="42" t="n">
        <x:v>4350</x:v>
      </x:c>
      <x:c r="H123" s="42"/>
      <x:c r="I123" s="42" t="n">
        <x:v>577146.8</x:v>
      </x:c>
      <x:c r="J123" s="30" t="str">
        <x:v>Possible vendor / operating payment</x:v>
      </x:c>
      <x:c r="K123" s="30" t="str">
        <x:v>Operating</x:v>
      </x:c>
      <x:c r="L123" s="22" t="str">
        <x:v>Pending source matching</x:v>
      </x:c>
      <x:c r="M123" s="30" t="str">
        <x:v>None</x:v>
      </x:c>
      <x:c r="N123" s="47" t="str">
        <x:v>May2025.xlsx</x:v>
      </x:c>
    </x:row>
    <x:row r="124">
      <x:c r="A124" s="46" t="n">
        <x:v>45787</x:v>
      </x:c>
      <x:c r="B124" s="30" t="str">
        <x:v>May-25</x:v>
      </x:c>
      <x:c r="C124" s="30" t="str">
        <x:v>Debit</x:v>
      </x:c>
      <x:c r="D124" s="19" t="str">
        <x:v>7772259136217/SBIEPYHIGHTENSIONHTP</x:v>
      </x:c>
      <x:c r="E124" s="30" t="str">
        <x:v>0000251317313886</x:v>
      </x:c>
      <x:c r="F124" s="30" t="str">
        <x:v>11/05/25</x:v>
      </x:c>
      <x:c r="G124" s="42" t="n">
        <x:v>5500</x:v>
      </x:c>
      <x:c r="H124" s="42"/>
      <x:c r="I124" s="42" t="n">
        <x:v>571646.8</x:v>
      </x:c>
      <x:c r="J124" s="30" t="str">
        <x:v>Possible vendor / operating payment</x:v>
      </x:c>
      <x:c r="K124" s="30" t="str">
        <x:v>Operating</x:v>
      </x:c>
      <x:c r="L124" s="22" t="str">
        <x:v>Pending source matching</x:v>
      </x:c>
      <x:c r="M124" s="30" t="str">
        <x:v>None</x:v>
      </x:c>
      <x:c r="N124" s="47" t="str">
        <x:v>May2025.xlsx</x:v>
      </x:c>
    </x:row>
    <x:row r="125">
      <x:c r="A125" s="46" t="n">
        <x:v>45787</x:v>
      </x:c>
      <x:c r="B125" s="30" t="str">
        <x:v>May-25</x:v>
      </x:c>
      <x:c r="C125" s="30" t="str">
        <x:v>Debit</x:v>
      </x:c>
      <x:c r="D125" s="19" t="str">
        <x:v>0690634461117/SBIEPYHIGHTENSIONHTP</x:v>
      </x:c>
      <x:c r="E125" s="30" t="str">
        <x:v>0000251317314748</x:v>
      </x:c>
      <x:c r="F125" s="30" t="str">
        <x:v>11/05/25</x:v>
      </x:c>
      <x:c r="G125" s="42" t="n">
        <x:v>52480</x:v>
      </x:c>
      <x:c r="H125" s="42"/>
      <x:c r="I125" s="42" t="n">
        <x:v>519166.8</x:v>
      </x:c>
      <x:c r="J125" s="30" t="str">
        <x:v>Possible vendor / operating payment</x:v>
      </x:c>
      <x:c r="K125" s="30" t="str">
        <x:v>Operating</x:v>
      </x:c>
      <x:c r="L125" s="22" t="str">
        <x:v>Pending source matching</x:v>
      </x:c>
      <x:c r="M125" s="30" t="str">
        <x:v>None</x:v>
      </x:c>
      <x:c r="N125" s="47" t="str">
        <x:v>May2025.xlsx</x:v>
      </x:c>
    </x:row>
    <x:row r="126">
      <x:c r="A126" s="46" t="n">
        <x:v>45787</x:v>
      </x:c>
      <x:c r="B126" s="30" t="str">
        <x:v>May-25</x:v>
      </x:c>
      <x:c r="C126" s="30" t="str">
        <x:v>Debit</x:v>
      </x:c>
      <x:c r="D126" s="19" t="str">
        <x:v>4884842733337/SBIEPYHIGHTENSIONHTP</x:v>
      </x:c>
      <x:c r="E126" s="30" t="str">
        <x:v>0000251317315821</x:v>
      </x:c>
      <x:c r="F126" s="30" t="str">
        <x:v>11/05/25</x:v>
      </x:c>
      <x:c r="G126" s="42" t="n">
        <x:v>4610</x:v>
      </x:c>
      <x:c r="H126" s="42"/>
      <x:c r="I126" s="42" t="n">
        <x:v>514556.8</x:v>
      </x:c>
      <x:c r="J126" s="30" t="str">
        <x:v>Possible vendor / operating payment</x:v>
      </x:c>
      <x:c r="K126" s="30" t="str">
        <x:v>Operating</x:v>
      </x:c>
      <x:c r="L126" s="22" t="str">
        <x:v>Pending source matching</x:v>
      </x:c>
      <x:c r="M126" s="30" t="str">
        <x:v>None</x:v>
      </x:c>
      <x:c r="N126" s="47" t="str">
        <x:v>May2025.xlsx</x:v>
      </x:c>
    </x:row>
    <x:row r="127">
      <x:c r="A127" s="46" t="n">
        <x:v>45787</x:v>
      </x:c>
      <x:c r="B127" s="30" t="str">
        <x:v>May-25</x:v>
      </x:c>
      <x:c r="C127" s="30" t="str">
        <x:v>Debit</x:v>
      </x:c>
      <x:c r="D127" s="19" t="str">
        <x:v>6177425551037/SBIEPYHIGHTENSIONHTP</x:v>
      </x:c>
      <x:c r="E127" s="30" t="str">
        <x:v>0000251317316316</x:v>
      </x:c>
      <x:c r="F127" s="30" t="str">
        <x:v>11/05/25</x:v>
      </x:c>
      <x:c r="G127" s="42" t="n">
        <x:v>6740</x:v>
      </x:c>
      <x:c r="H127" s="42"/>
      <x:c r="I127" s="42" t="n">
        <x:v>507816.8</x:v>
      </x:c>
      <x:c r="J127" s="30" t="str">
        <x:v>Possible vendor / operating payment</x:v>
      </x:c>
      <x:c r="K127" s="30" t="str">
        <x:v>Operating</x:v>
      </x:c>
      <x:c r="L127" s="22" t="str">
        <x:v>Pending source matching</x:v>
      </x:c>
      <x:c r="M127" s="30" t="str">
        <x:v>None</x:v>
      </x:c>
      <x:c r="N127" s="47" t="str">
        <x:v>May2025.xlsx</x:v>
      </x:c>
    </x:row>
    <x:row r="128">
      <x:c r="A128" s="46" t="n">
        <x:v>45787</x:v>
      </x:c>
      <x:c r="B128" s="30" t="str">
        <x:v>May-25</x:v>
      </x:c>
      <x:c r="C128" s="30" t="str">
        <x:v>Debit</x:v>
      </x:c>
      <x:c r="D128" s="19" t="str">
        <x:v>1595180605519/SBIEPYHIGHTENSIONHTP</x:v>
      </x:c>
      <x:c r="E128" s="30" t="str">
        <x:v>0000251317316525</x:v>
      </x:c>
      <x:c r="F128" s="30" t="str">
        <x:v>11/05/25</x:v>
      </x:c>
      <x:c r="G128" s="42" t="n">
        <x:v>4030</x:v>
      </x:c>
      <x:c r="H128" s="42"/>
      <x:c r="I128" s="42" t="n">
        <x:v>503786.8</x:v>
      </x:c>
      <x:c r="J128" s="30" t="str">
        <x:v>Possible vendor / operating payment</x:v>
      </x:c>
      <x:c r="K128" s="30" t="str">
        <x:v>Operating</x:v>
      </x:c>
      <x:c r="L128" s="22" t="str">
        <x:v>Pending source matching</x:v>
      </x:c>
      <x:c r="M128" s="30" t="str">
        <x:v>None</x:v>
      </x:c>
      <x:c r="N128" s="47" t="str">
        <x:v>May2025.xlsx</x:v>
      </x:c>
    </x:row>
    <x:row r="129">
      <x:c r="A129" s="46" t="n">
        <x:v>45787</x:v>
      </x:c>
      <x:c r="B129" s="30" t="str">
        <x:v>May-25</x:v>
      </x:c>
      <x:c r="C129" s="30" t="str">
        <x:v>Debit</x:v>
      </x:c>
      <x:c r="D129" s="19" t="str">
        <x:v>9344622480529/SBIEPYHIGHTENSIONHTP</x:v>
      </x:c>
      <x:c r="E129" s="30" t="str">
        <x:v>0000251317317318</x:v>
      </x:c>
      <x:c r="F129" s="30" t="str">
        <x:v>11/05/25</x:v>
      </x:c>
      <x:c r="G129" s="42" t="n">
        <x:v>35070</x:v>
      </x:c>
      <x:c r="H129" s="42"/>
      <x:c r="I129" s="42" t="n">
        <x:v>468716.8</x:v>
      </x:c>
      <x:c r="J129" s="30" t="str">
        <x:v>Possible vendor / operating payment</x:v>
      </x:c>
      <x:c r="K129" s="30" t="str">
        <x:v>Operating</x:v>
      </x:c>
      <x:c r="L129" s="22" t="str">
        <x:v>Pending source matching</x:v>
      </x:c>
      <x:c r="M129" s="30" t="str">
        <x:v>None</x:v>
      </x:c>
      <x:c r="N129" s="47" t="str">
        <x:v>May2025.xlsx</x:v>
      </x:c>
    </x:row>
    <x:row r="130">
      <x:c r="A130" s="46" t="n">
        <x:v>45787</x:v>
      </x:c>
      <x:c r="B130" s="30" t="str">
        <x:v>May-25</x:v>
      </x:c>
      <x:c r="C130" s="30" t="str">
        <x:v>Debit</x:v>
      </x:c>
      <x:c r="D130" s="19" t="str">
        <x:v>6553099005129/SBIEPYHIGHTENSIONHTP</x:v>
      </x:c>
      <x:c r="E130" s="30" t="str">
        <x:v>0000251317317543</x:v>
      </x:c>
      <x:c r="F130" s="30" t="str">
        <x:v>11/05/25</x:v>
      </x:c>
      <x:c r="G130" s="42" t="n">
        <x:v>1690</x:v>
      </x:c>
      <x:c r="H130" s="42"/>
      <x:c r="I130" s="42" t="n">
        <x:v>467026.8</x:v>
      </x:c>
      <x:c r="J130" s="30" t="str">
        <x:v>Possible vendor / operating payment</x:v>
      </x:c>
      <x:c r="K130" s="30" t="str">
        <x:v>Operating</x:v>
      </x:c>
      <x:c r="L130" s="22" t="str">
        <x:v>Pending source matching</x:v>
      </x:c>
      <x:c r="M130" s="30" t="str">
        <x:v>None</x:v>
      </x:c>
      <x:c r="N130" s="47" t="str">
        <x:v>May2025.xlsx</x:v>
      </x:c>
    </x:row>
    <x:row r="131">
      <x:c r="A131" s="46" t="n">
        <x:v>45788</x:v>
      </x:c>
      <x:c r="B131" s="30" t="str">
        <x:v>May-25</x:v>
      </x:c>
      <x:c r="C131" s="30" t="str">
        <x:v>Debit</x:v>
      </x:c>
      <x:c r="D131" s="19" t="str">
        <x:v>CHQ PAID-MICR CTS-MU-MOHONLEU WATHMASE</x:v>
      </x:c>
      <x:c r="E131" s="30" t="str">
        <x:v>0000000000000748</x:v>
      </x:c>
      <x:c r="F131" s="30" t="str">
        <x:v>12/05/25</x:v>
      </x:c>
      <x:c r="G131" s="42" t="n">
        <x:v>5000</x:v>
      </x:c>
      <x:c r="H131" s="42"/>
      <x:c r="I131" s="42" t="n">
        <x:v>462026.8</x:v>
      </x:c>
      <x:c r="J131" s="30" t="str">
        <x:v>Possible vendor / operating payment</x:v>
      </x:c>
      <x:c r="K131" s="30" t="str">
        <x:v>Operating</x:v>
      </x:c>
      <x:c r="L131" s="22" t="str">
        <x:v>Pending source matching</x:v>
      </x:c>
      <x:c r="M131" s="30" t="str">
        <x:v>None</x:v>
      </x:c>
      <x:c r="N131" s="47" t="str">
        <x:v>May2025.xlsx</x:v>
      </x:c>
    </x:row>
    <x:row r="132">
      <x:c r="A132" s="46" t="n">
        <x:v>45789</x:v>
      </x:c>
      <x:c r="B132" s="30" t="str">
        <x:v>May-25</x:v>
      </x:c>
      <x:c r="C132" s="30" t="str">
        <x:v>Credit</x:v>
      </x:c>
      <x:c r="D132" s="19" t="str">
        <x:v>NEFT CR-YESB0000001-VIVISH TECHNOLOGIES PVT LTD-MONT VERT BIARRITZ CO OP HOUSING SO-YESBN52025051302578770</x:v>
      </x:c>
      <x:c r="E132" s="30" t="str">
        <x:v>YESBN52025051302578770</x:v>
      </x:c>
      <x:c r="F132" s="30" t="str">
        <x:v>13/05/25</x:v>
      </x:c>
      <x:c r="G132" s="42"/>
      <x:c r="H132" s="42" t="n">
        <x:v>24669.08</x:v>
      </x:c>
      <x:c r="I132" s="42" t="n">
        <x:v>486695.88</x:v>
      </x:c>
      <x:c r="J132" s="30" t="str">
        <x:v>Possible collection</x:v>
      </x:c>
      <x:c r="K132" s="30" t="str">
        <x:v>Operating</x:v>
      </x:c>
      <x:c r="L132" s="22" t="str">
        <x:v>Pending source matching</x:v>
      </x:c>
      <x:c r="M132" s="30" t="str">
        <x:v>None</x:v>
      </x:c>
      <x:c r="N132" s="47" t="str">
        <x:v>May2025.xlsx</x:v>
      </x:c>
    </x:row>
    <x:row r="133">
      <x:c r="A133" s="46" t="n">
        <x:v>45789</x:v>
      </x:c>
      <x:c r="B133" s="30" t="str">
        <x:v>May-25</x:v>
      </x:c>
      <x:c r="C133" s="30" t="str">
        <x:v>Credit</x:v>
      </x:c>
      <x:c r="D133" s="19" t="str">
        <x:v>NEFT CR-YESB0000001-VIVISH TECHNOLOGIES PVT LTD-MONT VERT BIARRITZ CO OP HOUSING SO-YESBN52025051302622603</x:v>
      </x:c>
      <x:c r="E133" s="30" t="str">
        <x:v>YESBN52025051302622603</x:v>
      </x:c>
      <x:c r="F133" s="30" t="str">
        <x:v>13/05/25</x:v>
      </x:c>
      <x:c r="G133" s="42"/>
      <x:c r="H133" s="42" t="n">
        <x:v>24626.81</x:v>
      </x:c>
      <x:c r="I133" s="42" t="n">
        <x:v>511322.69</x:v>
      </x:c>
      <x:c r="J133" s="30" t="str">
        <x:v>Possible collection</x:v>
      </x:c>
      <x:c r="K133" s="30" t="str">
        <x:v>Operating</x:v>
      </x:c>
      <x:c r="L133" s="22" t="str">
        <x:v>Pending source matching</x:v>
      </x:c>
      <x:c r="M133" s="30" t="str">
        <x:v>None</x:v>
      </x:c>
      <x:c r="N133" s="47" t="str">
        <x:v>May2025.xlsx</x:v>
      </x:c>
    </x:row>
    <x:row r="134">
      <x:c r="A134" s="46" t="n">
        <x:v>45790</x:v>
      </x:c>
      <x:c r="B134" s="30" t="str">
        <x:v>May-25</x:v>
      </x:c>
      <x:c r="C134" s="30" t="str">
        <x:v>Credit</x:v>
      </x:c>
      <x:c r="D134" s="19" t="str">
        <x:v>NEFT CR-YESB0000001-VIVISH TECHNOLOGIES PVT LTD-MONT VERT BIARRITZ CO OP HOUSING SO-YESBN52025051402958834</x:v>
      </x:c>
      <x:c r="E134" s="30" t="str">
        <x:v>YESBN52025051402958834</x:v>
      </x:c>
      <x:c r="F134" s="30" t="str">
        <x:v>14/05/25</x:v>
      </x:c>
      <x:c r="G134" s="42"/>
      <x:c r="H134" s="42" t="n">
        <x:v>26698.12</x:v>
      </x:c>
      <x:c r="I134" s="42" t="n">
        <x:v>538020.81</x:v>
      </x:c>
      <x:c r="J134" s="30" t="str">
        <x:v>Possible collection</x:v>
      </x:c>
      <x:c r="K134" s="30" t="str">
        <x:v>Operating</x:v>
      </x:c>
      <x:c r="L134" s="22" t="str">
        <x:v>Pending source matching</x:v>
      </x:c>
      <x:c r="M134" s="30" t="str">
        <x:v>None</x:v>
      </x:c>
      <x:c r="N134" s="47" t="str">
        <x:v>May2025.xlsx</x:v>
      </x:c>
    </x:row>
    <x:row r="135">
      <x:c r="A135" s="46" t="n">
        <x:v>45791</x:v>
      </x:c>
      <x:c r="B135" s="30" t="str">
        <x:v>May-25</x:v>
      </x:c>
      <x:c r="C135" s="30" t="str">
        <x:v>Debit</x:v>
      </x:c>
      <x:c r="D135" s="19" t="str">
        <x:v>CHQ PAID-MICR CTS-MU-KSHIVA KUTAL</x:v>
      </x:c>
      <x:c r="E135" s="30" t="str">
        <x:v>0000000000000758</x:v>
      </x:c>
      <x:c r="F135" s="30" t="str">
        <x:v>15/05/25</x:v>
      </x:c>
      <x:c r="G135" s="42" t="n">
        <x:v>12000</x:v>
      </x:c>
      <x:c r="H135" s="42"/>
      <x:c r="I135" s="42" t="n">
        <x:v>526020.81</x:v>
      </x:c>
      <x:c r="J135" s="30" t="str">
        <x:v>Possible vendor / operating payment</x:v>
      </x:c>
      <x:c r="K135" s="30" t="str">
        <x:v>Operating</x:v>
      </x:c>
      <x:c r="L135" s="22" t="str">
        <x:v>Pending source matching</x:v>
      </x:c>
      <x:c r="M135" s="30" t="str">
        <x:v>None</x:v>
      </x:c>
      <x:c r="N135" s="47" t="str">
        <x:v>May2025.xlsx</x:v>
      </x:c>
    </x:row>
    <x:row r="136">
      <x:c r="A136" s="46" t="n">
        <x:v>45795</x:v>
      </x:c>
      <x:c r="B136" s="30" t="str">
        <x:v>May-25</x:v>
      </x:c>
      <x:c r="C136" s="30" t="str">
        <x:v>Debit</x:v>
      </x:c>
      <x:c r="D136" s="19" t="str">
        <x:v>CHQ PAID-MICR CTS-MU-SOHAM ENTEELLISES</x:v>
      </x:c>
      <x:c r="E136" s="30" t="str">
        <x:v>0000000000000749</x:v>
      </x:c>
      <x:c r="F136" s="30" t="str">
        <x:v>19/05/25</x:v>
      </x:c>
      <x:c r="G136" s="42" t="n">
        <x:v>8000</x:v>
      </x:c>
      <x:c r="H136" s="42"/>
      <x:c r="I136" s="42" t="n">
        <x:v>518020.81</x:v>
      </x:c>
      <x:c r="J136" s="30" t="str">
        <x:v>Possible vendor / operating payment</x:v>
      </x:c>
      <x:c r="K136" s="30" t="str">
        <x:v>Operating</x:v>
      </x:c>
      <x:c r="L136" s="22" t="str">
        <x:v>Pending source matching</x:v>
      </x:c>
      <x:c r="M136" s="30" t="str">
        <x:v>None</x:v>
      </x:c>
      <x:c r="N136" s="47" t="str">
        <x:v>May2025.xlsx</x:v>
      </x:c>
    </x:row>
    <x:row r="137">
      <x:c r="A137" s="46" t="n">
        <x:v>45795</x:v>
      </x:c>
      <x:c r="B137" s="30" t="str">
        <x:v>May-25</x:v>
      </x:c>
      <x:c r="C137" s="30" t="str">
        <x:v>Debit</x:v>
      </x:c>
      <x:c r="D137" s="19" t="str">
        <x:v>SANDIP RATHOD - CHQ PAID - PASHAN - PUN</x:v>
      </x:c>
      <x:c r="E137" s="30" t="str">
        <x:v>0000000000000755</x:v>
      </x:c>
      <x:c r="F137" s="30" t="str">
        <x:v>19/05/25</x:v>
      </x:c>
      <x:c r="G137" s="42" t="n">
        <x:v>8000</x:v>
      </x:c>
      <x:c r="H137" s="42"/>
      <x:c r="I137" s="42" t="n">
        <x:v>510020.81</x:v>
      </x:c>
      <x:c r="J137" s="30" t="str">
        <x:v>Possible vendor / operating payment</x:v>
      </x:c>
      <x:c r="K137" s="30" t="str">
        <x:v>Operating</x:v>
      </x:c>
      <x:c r="L137" s="22" t="str">
        <x:v>Pending source matching</x:v>
      </x:c>
      <x:c r="M137" s="30" t="str">
        <x:v>None</x:v>
      </x:c>
      <x:c r="N137" s="47" t="str">
        <x:v>May2025.xlsx</x:v>
      </x:c>
    </x:row>
    <x:row r="138">
      <x:c r="A138" s="46" t="n">
        <x:v>45795</x:v>
      </x:c>
      <x:c r="B138" s="30" t="str">
        <x:v>May-25</x:v>
      </x:c>
      <x:c r="C138" s="30" t="str">
        <x:v>Credit</x:v>
      </x:c>
      <x:c r="D138" s="19" t="str">
        <x:v>CHQ DEP MICR8 CLG MODEL COLONY - MICR 8: JAYVEER    A  YADAV :NORTH KANARA G.S.B. COOP BANK  LTD</x:v>
      </x:c>
      <x:c r="E138" s="30" t="str">
        <x:v>0000000000001849</x:v>
      </x:c>
      <x:c r="F138" s="30" t="str">
        <x:v>20/05/25</x:v>
      </x:c>
      <x:c r="G138" s="42"/>
      <x:c r="H138" s="42" t="n">
        <x:v>26500</x:v>
      </x:c>
      <x:c r="I138" s="42" t="n">
        <x:v>536520.81</x:v>
      </x:c>
      <x:c r="J138" s="30" t="str">
        <x:v>Other bank credit</x:v>
      </x:c>
      <x:c r="K138" s="30" t="str">
        <x:v>Other</x:v>
      </x:c>
      <x:c r="L138" s="22" t="str">
        <x:v>Pending source matching</x:v>
      </x:c>
      <x:c r="M138" s="30" t="str">
        <x:v>None</x:v>
      </x:c>
      <x:c r="N138" s="47" t="str">
        <x:v>May2025.xlsx</x:v>
      </x:c>
    </x:row>
    <x:row r="139">
      <x:c r="A139" s="46" t="n">
        <x:v>45796</x:v>
      </x:c>
      <x:c r="B139" s="30" t="str">
        <x:v>May-25</x:v>
      </x:c>
      <x:c r="C139" s="30" t="str">
        <x:v>Credit</x:v>
      </x:c>
      <x:c r="D139" s="19" t="str">
        <x:v>NEFT CR-YESB0000001-VIVISH TECHNOLOGIES PVT LTD-MONT VERT BIARRITZ CO OP HOUSING SO-YESBN12025052005923819</x:v>
      </x:c>
      <x:c r="E139" s="30" t="str">
        <x:v>YESBN12025052005923819</x:v>
      </x:c>
      <x:c r="F139" s="30" t="str">
        <x:v>20/05/25</x:v>
      </x:c>
      <x:c r="G139" s="42"/>
      <x:c r="H139" s="42" t="n">
        <x:v>25600</x:v>
      </x:c>
      <x:c r="I139" s="42" t="n">
        <x:v>562120.81</x:v>
      </x:c>
      <x:c r="J139" s="30" t="str">
        <x:v>Possible collection</x:v>
      </x:c>
      <x:c r="K139" s="30" t="str">
        <x:v>Operating</x:v>
      </x:c>
      <x:c r="L139" s="22" t="str">
        <x:v>Pending source matching</x:v>
      </x:c>
      <x:c r="M139" s="30" t="str">
        <x:v>None</x:v>
      </x:c>
      <x:c r="N139" s="47" t="str">
        <x:v>May2025.xlsx</x:v>
      </x:c>
    </x:row>
    <x:row r="140">
      <x:c r="A140" s="46" t="n">
        <x:v>45796</x:v>
      </x:c>
      <x:c r="B140" s="30" t="str">
        <x:v>May-25</x:v>
      </x:c>
      <x:c r="C140" s="30" t="str">
        <x:v>Debit</x:v>
      </x:c>
      <x:c r="D140" s="19" t="str">
        <x:v>CHQ DEP RET- ACCOUNT BLOCKED</x:v>
      </x:c>
      <x:c r="E140" s="30" t="str">
        <x:v>0000000000001849</x:v>
      </x:c>
      <x:c r="F140" s="30" t="str">
        <x:v>20/05/25</x:v>
      </x:c>
      <x:c r="G140" s="42" t="n">
        <x:v>26500</x:v>
      </x:c>
      <x:c r="H140" s="42"/>
      <x:c r="I140" s="42" t="n">
        <x:v>535620.81</x:v>
      </x:c>
      <x:c r="J140" s="30" t="str">
        <x:v>Unclassified bank debit</x:v>
      </x:c>
      <x:c r="K140" s="30" t="str">
        <x:v>Other</x:v>
      </x:c>
      <x:c r="L140" s="22" t="str">
        <x:v>Pending source matching</x:v>
      </x:c>
      <x:c r="M140" s="30" t="str">
        <x:v>None</x:v>
      </x:c>
      <x:c r="N140" s="47" t="str">
        <x:v>May2025.xlsx</x:v>
      </x:c>
    </x:row>
    <x:row r="141">
      <x:c r="A141" s="46" t="n">
        <x:v>45797</x:v>
      </x:c>
      <x:c r="B141" s="30" t="str">
        <x:v>May-25</x:v>
      </x:c>
      <x:c r="C141" s="30" t="str">
        <x:v>Debit</x:v>
      </x:c>
      <x:c r="D141" s="19" t="str">
        <x:v>CHQ PAID-MICR CTS-MU-NETWORK SERVIECS</x:v>
      </x:c>
      <x:c r="E141" s="30" t="str">
        <x:v>0000000000000751</x:v>
      </x:c>
      <x:c r="F141" s="30" t="str">
        <x:v>21/05/25</x:v>
      </x:c>
      <x:c r="G141" s="42" t="n">
        <x:v>53460</x:v>
      </x:c>
      <x:c r="H141" s="42"/>
      <x:c r="I141" s="42" t="n">
        <x:v>482160.81</x:v>
      </x:c>
      <x:c r="J141" s="30" t="str">
        <x:v>Possible vendor / operating payment</x:v>
      </x:c>
      <x:c r="K141" s="30" t="str">
        <x:v>Operating</x:v>
      </x:c>
      <x:c r="L141" s="22" t="str">
        <x:v>Pending source matching</x:v>
      </x:c>
      <x:c r="M141" s="30" t="str">
        <x:v>None</x:v>
      </x:c>
      <x:c r="N141" s="47" t="str">
        <x:v>May2025.xlsx</x:v>
      </x:c>
    </x:row>
    <x:row r="142">
      <x:c r="A142" s="46" t="n">
        <x:v>45797</x:v>
      </x:c>
      <x:c r="B142" s="30" t="str">
        <x:v>May-25</x:v>
      </x:c>
      <x:c r="C142" s="30" t="str">
        <x:v>Credit</x:v>
      </x:c>
      <x:c r="D142" s="19" t="str">
        <x:v>UPI SETTLEMENT -DKB258- 21/05/25</x:v>
      </x:c>
      <x:c r="E142" s="30" t="str">
        <x:v>000000000000000</x:v>
      </x:c>
      <x:c r="F142" s="30" t="str">
        <x:v>21/05/25</x:v>
      </x:c>
      <x:c r="G142" s="42"/>
      <x:c r="H142" s="42" t="n">
        <x:v>2000</x:v>
      </x:c>
      <x:c r="I142" s="42" t="n">
        <x:v>484160.81</x:v>
      </x:c>
      <x:c r="J142" s="30" t="str">
        <x:v>Possible collection</x:v>
      </x:c>
      <x:c r="K142" s="30" t="str">
        <x:v>Operating</x:v>
      </x:c>
      <x:c r="L142" s="22" t="str">
        <x:v>Pending source matching</x:v>
      </x:c>
      <x:c r="M142" s="30" t="str">
        <x:v>None</x:v>
      </x:c>
      <x:c r="N142" s="47" t="str">
        <x:v>May2025.xlsx</x:v>
      </x:c>
    </x:row>
    <x:row r="143">
      <x:c r="A143" s="46" t="n">
        <x:v>45799</x:v>
      </x:c>
      <x:c r="B143" s="30" t="str">
        <x:v>May-25</x:v>
      </x:c>
      <x:c r="C143" s="30" t="str">
        <x:v>Credit</x:v>
      </x:c>
      <x:c r="D143" s="19" t="str">
        <x:v>NEFT CR-ICIC0SF0002-VIVISH TECHNOLOGIES PRIVATE LIMITED-MONTVERTBIARRITZCOOPHOUSINGSOCIETYLTD-ICICN42025052357868411</x:v>
      </x:c>
      <x:c r="E143" s="30" t="str">
        <x:v>ICICN42025052357868411</x:v>
      </x:c>
      <x:c r="F143" s="30" t="str">
        <x:v>23/05/25</x:v>
      </x:c>
      <x:c r="G143" s="42"/>
      <x:c r="H143" s="42" t="n">
        <x:v>24809.98</x:v>
      </x:c>
      <x:c r="I143" s="42" t="n">
        <x:v>508970.79</x:v>
      </x:c>
      <x:c r="J143" s="30" t="str">
        <x:v>Possible collection</x:v>
      </x:c>
      <x:c r="K143" s="30" t="str">
        <x:v>Operating</x:v>
      </x:c>
      <x:c r="L143" s="22" t="str">
        <x:v>Pending source matching</x:v>
      </x:c>
      <x:c r="M143" s="30" t="str">
        <x:v>None</x:v>
      </x:c>
      <x:c r="N143" s="47" t="str">
        <x:v>May2025.xlsx</x:v>
      </x:c>
    </x:row>
    <x:row r="144">
      <x:c r="A144" s="46" t="n">
        <x:v>45803</x:v>
      </x:c>
      <x:c r="B144" s="30" t="str">
        <x:v>May-25</x:v>
      </x:c>
      <x:c r="C144" s="30" t="str">
        <x:v>Debit</x:v>
      </x:c>
      <x:c r="D144" s="19" t="str">
        <x:v>SAGAR NAVGIRE - CHQ PAID - PASHAN - PUN</x:v>
      </x:c>
      <x:c r="E144" s="30" t="str">
        <x:v>0000000000000756</x:v>
      </x:c>
      <x:c r="F144" s="30" t="str">
        <x:v>27/05/25</x:v>
      </x:c>
      <x:c r="G144" s="42" t="n">
        <x:v>3000</x:v>
      </x:c>
      <x:c r="H144" s="42"/>
      <x:c r="I144" s="42" t="n">
        <x:v>505970.79</x:v>
      </x:c>
      <x:c r="J144" s="30" t="str">
        <x:v>Possible vendor / operating payment</x:v>
      </x:c>
      <x:c r="K144" s="30" t="str">
        <x:v>Operating</x:v>
      </x:c>
      <x:c r="L144" s="22" t="str">
        <x:v>Pending source matching</x:v>
      </x:c>
      <x:c r="M144" s="30" t="str">
        <x:v>None</x:v>
      </x:c>
      <x:c r="N144" s="47" t="str">
        <x:v>May2025.xlsx</x:v>
      </x:c>
    </x:row>
    <x:row r="145">
      <x:c r="A145" s="46" t="n">
        <x:v>45803</x:v>
      </x:c>
      <x:c r="B145" s="30" t="str">
        <x:v>May-25</x:v>
      </x:c>
      <x:c r="C145" s="30" t="str">
        <x:v>Credit</x:v>
      </x:c>
      <x:c r="D145" s="19" t="str">
        <x:v>CHQ DEP MICR8 CLG MODEL COLONY - MICR 8: JAYVEER YADAV :NORTH KANARA G.S.B. COOP BANK  LTD</x:v>
      </x:c>
      <x:c r="E145" s="30" t="str">
        <x:v>0000000000001849</x:v>
      </x:c>
      <x:c r="F145" s="30" t="str">
        <x:v>28/05/25</x:v>
      </x:c>
      <x:c r="G145" s="42"/>
      <x:c r="H145" s="42" t="n">
        <x:v>26500</x:v>
      </x:c>
      <x:c r="I145" s="42" t="n">
        <x:v>532470.79</x:v>
      </x:c>
      <x:c r="J145" s="30" t="str">
        <x:v>Other bank credit</x:v>
      </x:c>
      <x:c r="K145" s="30" t="str">
        <x:v>Other</x:v>
      </x:c>
      <x:c r="L145" s="22" t="str">
        <x:v>Pending source matching</x:v>
      </x:c>
      <x:c r="M145" s="30" t="str">
        <x:v>None</x:v>
      </x:c>
      <x:c r="N145" s="47" t="str">
        <x:v>May2025.xlsx</x:v>
      </x:c>
    </x:row>
    <x:row r="146">
      <x:c r="A146" s="46" t="n">
        <x:v>45807</x:v>
      </x:c>
      <x:c r="B146" s="30" t="str">
        <x:v>May-25</x:v>
      </x:c>
      <x:c r="C146" s="30" t="str">
        <x:v>Credit</x:v>
      </x:c>
      <x:c r="D146" s="19" t="str">
        <x:v>INTEREST CREDIT 50301146438020</x:v>
      </x:c>
      <x:c r="E146" s="30" t="str">
        <x:v>3304220250531780</x:v>
      </x:c>
      <x:c r="F146" s="30" t="str">
        <x:v>31/05/25</x:v>
      </x:c>
      <x:c r="G146" s="42"/>
      <x:c r="H146" s="42" t="n">
        <x:v>825</x:v>
      </x:c>
      <x:c r="I146" s="42" t="n">
        <x:v>533295.79</x:v>
      </x:c>
      <x:c r="J146" s="30" t="str">
        <x:v>Interest income</x:v>
      </x:c>
      <x:c r="K146" s="30" t="str">
        <x:v>Investment</x:v>
      </x:c>
      <x:c r="L146" s="22" t="str">
        <x:v>Pending source matching</x:v>
      </x:c>
      <x:c r="M146" s="30" t="str">
        <x:v>None</x:v>
      </x:c>
      <x:c r="N146" s="47" t="str">
        <x:v>May2025.xlsx</x:v>
      </x:c>
    </x:row>
    <x:row r="147">
      <x:c r="A147" s="46" t="n">
        <x:v>45807</x:v>
      </x:c>
      <x:c r="B147" s="30" t="str">
        <x:v>May-25</x:v>
      </x:c>
      <x:c r="C147" s="30" t="str">
        <x:v>Credit</x:v>
      </x:c>
      <x:c r="D147" s="19" t="str">
        <x:v>PRIN AND INT AUTO_REDEEM 50301146438020</x:v>
      </x:c>
      <x:c r="E147" s="30" t="str">
        <x:v>3304220250531810</x:v>
      </x:c>
      <x:c r="F147" s="30" t="str">
        <x:v>31/05/25</x:v>
      </x:c>
      <x:c r="G147" s="42"/>
      <x:c r="H147" s="42" t="n">
        <x:v>200000</x:v>
      </x:c>
      <x:c r="I147" s="42" t="n">
        <x:v>733295.79</x:v>
      </x:c>
      <x:c r="J147" s="30" t="str">
        <x:v>FD maturity / redemption</x:v>
      </x:c>
      <x:c r="K147" s="30" t="str">
        <x:v>Investment</x:v>
      </x:c>
      <x:c r="L147" s="22" t="str">
        <x:v>Pending source matching</x:v>
      </x:c>
      <x:c r="M147" s="30" t="str">
        <x:v>None</x:v>
      </x:c>
      <x:c r="N147" s="47" t="str">
        <x:v>May2025.xlsx</x:v>
      </x:c>
    </x:row>
    <x:row r="148">
      <x:c r="A148" s="46" t="n">
        <x:v>45810</x:v>
      </x:c>
      <x:c r="B148" s="30" t="str">
        <x:v>Jun-25</x:v>
      </x:c>
      <x:c r="C148" s="30" t="str">
        <x:v>Credit</x:v>
      </x:c>
      <x:c r="D148" s="19" t="str">
        <x:v>NEFT CR-ICIC0SF0002-VIVISH TECHNOLOGIES PRIVATE LIMITED-MONTVERTBIARRITZCOOPHOUSINGSOCIETYLTD-ICICN42025060357138502</x:v>
      </x:c>
      <x:c r="E148" s="30" t="str">
        <x:v>ICICN42025060357138502</x:v>
      </x:c>
      <x:c r="F148" s="30" t="str">
        <x:v>03/06/25</x:v>
      </x:c>
      <x:c r="G148" s="42"/>
      <x:c r="H148" s="42" t="n">
        <x:v>26972.44</x:v>
      </x:c>
      <x:c r="I148" s="42" t="n">
        <x:v>760268.23</x:v>
      </x:c>
      <x:c r="J148" s="30" t="str">
        <x:v>Possible collection</x:v>
      </x:c>
      <x:c r="K148" s="30" t="str">
        <x:v>Operating</x:v>
      </x:c>
      <x:c r="L148" s="22" t="str">
        <x:v>Pending source matching</x:v>
      </x:c>
      <x:c r="M148" s="30" t="str">
        <x:v>None</x:v>
      </x:c>
      <x:c r="N148" s="47" t="str">
        <x:v>June2025.xlsx</x:v>
      </x:c>
    </x:row>
    <x:row r="149">
      <x:c r="A149" s="46" t="n">
        <x:v>45811</x:v>
      </x:c>
      <x:c r="B149" s="30" t="str">
        <x:v>Jun-25</x:v>
      </x:c>
      <x:c r="C149" s="30" t="str">
        <x:v>Credit</x:v>
      </x:c>
      <x:c r="D149" s="19" t="str">
        <x:v>UPI SETTLEMENT -DKB258- 04/06/25</x:v>
      </x:c>
      <x:c r="E149" s="30" t="str">
        <x:v>000000000000000</x:v>
      </x:c>
      <x:c r="F149" s="30" t="str">
        <x:v>04/06/25</x:v>
      </x:c>
      <x:c r="G149" s="42"/>
      <x:c r="H149" s="42" t="n">
        <x:v>2000</x:v>
      </x:c>
      <x:c r="I149" s="42" t="n">
        <x:v>762268.23</x:v>
      </x:c>
      <x:c r="J149" s="30" t="str">
        <x:v>Possible collection</x:v>
      </x:c>
      <x:c r="K149" s="30" t="str">
        <x:v>Operating</x:v>
      </x:c>
      <x:c r="L149" s="22" t="str">
        <x:v>Pending source matching</x:v>
      </x:c>
      <x:c r="M149" s="30" t="str">
        <x:v>None</x:v>
      </x:c>
      <x:c r="N149" s="47" t="str">
        <x:v>June2025.xlsx</x:v>
      </x:c>
    </x:row>
    <x:row r="150">
      <x:c r="A150" s="46" t="n">
        <x:v>45813</x:v>
      </x:c>
      <x:c r="B150" s="30" t="str">
        <x:v>Jun-25</x:v>
      </x:c>
      <x:c r="C150" s="30" t="str">
        <x:v>Debit</x:v>
      </x:c>
      <x:c r="D150" s="19" t="str">
        <x:v>CHQ PAID-MICR CTS-MU-DEENAN GEEKWAT</x:v>
      </x:c>
      <x:c r="E150" s="30" t="str">
        <x:v>0000000000000759</x:v>
      </x:c>
      <x:c r="F150" s="30" t="str">
        <x:v>06/06/25</x:v>
      </x:c>
      <x:c r="G150" s="42" t="n">
        <x:v>24500</x:v>
      </x:c>
      <x:c r="H150" s="42"/>
      <x:c r="I150" s="42" t="n">
        <x:v>737768.23</x:v>
      </x:c>
      <x:c r="J150" s="30" t="str">
        <x:v>Possible vendor / operating payment</x:v>
      </x:c>
      <x:c r="K150" s="30" t="str">
        <x:v>Operating</x:v>
      </x:c>
      <x:c r="L150" s="22" t="str">
        <x:v>Pending source matching</x:v>
      </x:c>
      <x:c r="M150" s="30" t="str">
        <x:v>None</x:v>
      </x:c>
      <x:c r="N150" s="47" t="str">
        <x:v>June2025.xlsx</x:v>
      </x:c>
    </x:row>
    <x:row r="151">
      <x:c r="A151" s="46" t="n">
        <x:v>45813</x:v>
      </x:c>
      <x:c r="B151" s="30" t="str">
        <x:v>Jun-25</x:v>
      </x:c>
      <x:c r="C151" s="30" t="str">
        <x:v>Debit</x:v>
      </x:c>
      <x:c r="D151" s="19" t="str">
        <x:v>CHQ PAID-MICR CTS-MU-NETWORK SEVICES</x:v>
      </x:c>
      <x:c r="E151" s="30" t="str">
        <x:v>0000000000000760</x:v>
      </x:c>
      <x:c r="F151" s="30" t="str">
        <x:v>06/06/25</x:v>
      </x:c>
      <x:c r="G151" s="42" t="n">
        <x:v>53460</x:v>
      </x:c>
      <x:c r="H151" s="42"/>
      <x:c r="I151" s="42" t="n">
        <x:v>684308.23</x:v>
      </x:c>
      <x:c r="J151" s="30" t="str">
        <x:v>Possible vendor / operating payment</x:v>
      </x:c>
      <x:c r="K151" s="30" t="str">
        <x:v>Operating</x:v>
      </x:c>
      <x:c r="L151" s="22" t="str">
        <x:v>Pending source matching</x:v>
      </x:c>
      <x:c r="M151" s="30" t="str">
        <x:v>None</x:v>
      </x:c>
      <x:c r="N151" s="47" t="str">
        <x:v>June2025.xlsx</x:v>
      </x:c>
    </x:row>
    <x:row r="152">
      <x:c r="A152" s="46" t="n">
        <x:v>45813</x:v>
      </x:c>
      <x:c r="B152" s="30" t="str">
        <x:v>Jun-25</x:v>
      </x:c>
      <x:c r="C152" s="30" t="str">
        <x:v>Debit</x:v>
      </x:c>
      <x:c r="D152" s="19" t="str">
        <x:v>CHQ PAID-MICR CTS-MU-BHAGWAT G FUSAGE</x:v>
      </x:c>
      <x:c r="E152" s="30" t="str">
        <x:v>0000000000000762</x:v>
      </x:c>
      <x:c r="F152" s="30" t="str">
        <x:v>06/06/25</x:v>
      </x:c>
      <x:c r="G152" s="42" t="n">
        <x:v>4500</x:v>
      </x:c>
      <x:c r="H152" s="42"/>
      <x:c r="I152" s="42" t="n">
        <x:v>679808.23</x:v>
      </x:c>
      <x:c r="J152" s="30" t="str">
        <x:v>Possible vendor / operating payment</x:v>
      </x:c>
      <x:c r="K152" s="30" t="str">
        <x:v>Operating</x:v>
      </x:c>
      <x:c r="L152" s="22" t="str">
        <x:v>Pending source matching</x:v>
      </x:c>
      <x:c r="M152" s="30" t="str">
        <x:v>None</x:v>
      </x:c>
      <x:c r="N152" s="47" t="str">
        <x:v>June2025.xlsx</x:v>
      </x:c>
    </x:row>
    <x:row r="153">
      <x:c r="A153" s="46" t="n">
        <x:v>45814</x:v>
      </x:c>
      <x:c r="B153" s="30" t="str">
        <x:v>Jun-25</x:v>
      </x:c>
      <x:c r="C153" s="30" t="str">
        <x:v>Debit</x:v>
      </x:c>
      <x:c r="D153" s="19" t="str">
        <x:v>CHQ PAID-MICR CTS-MU-UYANKATI M KORLE</x:v>
      </x:c>
      <x:c r="E153" s="30" t="str">
        <x:v>0000000000000766</x:v>
      </x:c>
      <x:c r="F153" s="30" t="str">
        <x:v>07/06/25</x:v>
      </x:c>
      <x:c r="G153" s="42" t="n">
        <x:v>15800</x:v>
      </x:c>
      <x:c r="H153" s="42"/>
      <x:c r="I153" s="42" t="n">
        <x:v>664008.23</x:v>
      </x:c>
      <x:c r="J153" s="30" t="str">
        <x:v>Possible vendor / operating payment</x:v>
      </x:c>
      <x:c r="K153" s="30" t="str">
        <x:v>Operating</x:v>
      </x:c>
      <x:c r="L153" s="22" t="str">
        <x:v>Pending source matching</x:v>
      </x:c>
      <x:c r="M153" s="30" t="str">
        <x:v>None</x:v>
      </x:c>
      <x:c r="N153" s="47" t="str">
        <x:v>June2025.xlsx</x:v>
      </x:c>
    </x:row>
    <x:row r="154">
      <x:c r="A154" s="46" t="n">
        <x:v>45815</x:v>
      </x:c>
      <x:c r="B154" s="30" t="str">
        <x:v>Jun-25</x:v>
      </x:c>
      <x:c r="C154" s="30" t="str">
        <x:v>Credit</x:v>
      </x:c>
      <x:c r="D154" s="19" t="str">
        <x:v>UPI SETTLEMENT -DKB258- 08/06/25</x:v>
      </x:c>
      <x:c r="E154" s="30" t="str">
        <x:v>000000000000000</x:v>
      </x:c>
      <x:c r="F154" s="30" t="str">
        <x:v>08/06/25</x:v>
      </x:c>
      <x:c r="G154" s="42"/>
      <x:c r="H154" s="42" t="n">
        <x:v>7000</x:v>
      </x:c>
      <x:c r="I154" s="42" t="n">
        <x:v>671008.23</x:v>
      </x:c>
      <x:c r="J154" s="30" t="str">
        <x:v>Possible collection</x:v>
      </x:c>
      <x:c r="K154" s="30" t="str">
        <x:v>Operating</x:v>
      </x:c>
      <x:c r="L154" s="22" t="str">
        <x:v>Pending source matching</x:v>
      </x:c>
      <x:c r="M154" s="30" t="str">
        <x:v>None</x:v>
      </x:c>
      <x:c r="N154" s="47" t="str">
        <x:v>June2025.xlsx</x:v>
      </x:c>
    </x:row>
    <x:row r="155">
      <x:c r="A155" s="46" t="n">
        <x:v>45816</x:v>
      </x:c>
      <x:c r="B155" s="30" t="str">
        <x:v>Jun-25</x:v>
      </x:c>
      <x:c r="C155" s="30" t="str">
        <x:v>Debit</x:v>
      </x:c>
      <x:c r="D155" s="19" t="str">
        <x:v>NEFT DR-MAHB0000118-FONI BHUPENDRA BARDHAN-NETBANK, MUM-HDFCN52025060983581160-SALARY</x:v>
      </x:c>
      <x:c r="E155" s="30" t="str">
        <x:v>HDFCN52025060983581160</x:v>
      </x:c>
      <x:c r="F155" s="30" t="str">
        <x:v>09/06/25</x:v>
      </x:c>
      <x:c r="G155" s="42" t="n">
        <x:v>9000</x:v>
      </x:c>
      <x:c r="H155" s="42"/>
      <x:c r="I155" s="42" t="n">
        <x:v>662008.23</x:v>
      </x:c>
      <x:c r="J155" s="30" t="str">
        <x:v>Possible vendor / operating payment</x:v>
      </x:c>
      <x:c r="K155" s="30" t="str">
        <x:v>Operating</x:v>
      </x:c>
      <x:c r="L155" s="22" t="str">
        <x:v>Pending source matching</x:v>
      </x:c>
      <x:c r="M155" s="30" t="str">
        <x:v>None</x:v>
      </x:c>
      <x:c r="N155" s="47" t="str">
        <x:v>June2025.xlsx</x:v>
      </x:c>
    </x:row>
    <x:row r="156">
      <x:c r="A156" s="46" t="n">
        <x:v>45816</x:v>
      </x:c>
      <x:c r="B156" s="30" t="str">
        <x:v>Jun-25</x:v>
      </x:c>
      <x:c r="C156" s="30" t="str">
        <x:v>Debit</x:v>
      </x:c>
      <x:c r="D156" s="19" t="str">
        <x:v>FT - DR - 50200043895952 - GHANSHAM HARDWARE AND ELECTRICALS</x:v>
      </x:c>
      <x:c r="E156" s="30" t="str">
        <x:v>0000000000000764</x:v>
      </x:c>
      <x:c r="F156" s="30" t="str">
        <x:v>09/06/25</x:v>
      </x:c>
      <x:c r="G156" s="42" t="n">
        <x:v>1981</x:v>
      </x:c>
      <x:c r="H156" s="42"/>
      <x:c r="I156" s="42" t="n">
        <x:v>660027.23</x:v>
      </x:c>
      <x:c r="J156" s="30" t="str">
        <x:v>Possible vendor / operating payment</x:v>
      </x:c>
      <x:c r="K156" s="30" t="str">
        <x:v>Operating</x:v>
      </x:c>
      <x:c r="L156" s="22" t="str">
        <x:v>Pending source matching</x:v>
      </x:c>
      <x:c r="M156" s="30" t="str">
        <x:v>None</x:v>
      </x:c>
      <x:c r="N156" s="47" t="str">
        <x:v>June2025.xlsx</x:v>
      </x:c>
    </x:row>
    <x:row r="157">
      <x:c r="A157" s="46" t="n">
        <x:v>45818</x:v>
      </x:c>
      <x:c r="B157" s="30" t="str">
        <x:v>Jun-25</x:v>
      </x:c>
      <x:c r="C157" s="30" t="str">
        <x:v>Credit</x:v>
      </x:c>
      <x:c r="D157" s="19" t="str">
        <x:v>UPI SETTLEMENT -DKB258- 11/06/25</x:v>
      </x:c>
      <x:c r="E157" s="30" t="str">
        <x:v>000000000000000</x:v>
      </x:c>
      <x:c r="F157" s="30" t="str">
        <x:v>11/06/25</x:v>
      </x:c>
      <x:c r="G157" s="42"/>
      <x:c r="H157" s="42" t="n">
        <x:v>8000</x:v>
      </x:c>
      <x:c r="I157" s="42" t="n">
        <x:v>668027.23</x:v>
      </x:c>
      <x:c r="J157" s="30" t="str">
        <x:v>Possible collection</x:v>
      </x:c>
      <x:c r="K157" s="30" t="str">
        <x:v>Operating</x:v>
      </x:c>
      <x:c r="L157" s="22" t="str">
        <x:v>Pending source matching</x:v>
      </x:c>
      <x:c r="M157" s="30" t="str">
        <x:v>None</x:v>
      </x:c>
      <x:c r="N157" s="47" t="str">
        <x:v>June2025.xlsx</x:v>
      </x:c>
    </x:row>
    <x:row r="158">
      <x:c r="A158" s="46" t="n">
        <x:v>45819</x:v>
      </x:c>
      <x:c r="B158" s="30" t="str">
        <x:v>Jun-25</x:v>
      </x:c>
      <x:c r="C158" s="30" t="str">
        <x:v>Debit</x:v>
      </x:c>
      <x:c r="D158" s="19" t="str">
        <x:v>CHQ PAID-MICR CTS-MU-NARETYAN V GAVWAWAD</x:v>
      </x:c>
      <x:c r="E158" s="30" t="str">
        <x:v>0000000000000769</x:v>
      </x:c>
      <x:c r="F158" s="30" t="str">
        <x:v>12/06/25</x:v>
      </x:c>
      <x:c r="G158" s="42" t="n">
        <x:v>44288</x:v>
      </x:c>
      <x:c r="H158" s="42"/>
      <x:c r="I158" s="42" t="n">
        <x:v>623739.23</x:v>
      </x:c>
      <x:c r="J158" s="30" t="str">
        <x:v>Possible vendor / operating payment</x:v>
      </x:c>
      <x:c r="K158" s="30" t="str">
        <x:v>Operating</x:v>
      </x:c>
      <x:c r="L158" s="22" t="str">
        <x:v>Pending source matching</x:v>
      </x:c>
      <x:c r="M158" s="30" t="str">
        <x:v>None</x:v>
      </x:c>
      <x:c r="N158" s="47" t="str">
        <x:v>June2025.xlsx</x:v>
      </x:c>
    </x:row>
    <x:row r="159">
      <x:c r="A159" s="46" t="n">
        <x:v>45819</x:v>
      </x:c>
      <x:c r="B159" s="30" t="str">
        <x:v>Jun-25</x:v>
      </x:c>
      <x:c r="C159" s="30" t="str">
        <x:v>Debit</x:v>
      </x:c>
      <x:c r="D159" s="19" t="str">
        <x:v>FT - DR - 50200049385081 - VIVISH TECHNOLOGIES PRIVATE LIMITED</x:v>
      </x:c>
      <x:c r="E159" s="30" t="str">
        <x:v>0000000000000771</x:v>
      </x:c>
      <x:c r="F159" s="30" t="str">
        <x:v>12/06/25</x:v>
      </x:c>
      <x:c r="G159" s="42" t="n">
        <x:v>21240</x:v>
      </x:c>
      <x:c r="H159" s="42"/>
      <x:c r="I159" s="42" t="n">
        <x:v>602499.23</x:v>
      </x:c>
      <x:c r="J159" s="30" t="str">
        <x:v>Possible vendor / operating payment</x:v>
      </x:c>
      <x:c r="K159" s="30" t="str">
        <x:v>Operating</x:v>
      </x:c>
      <x:c r="L159" s="22" t="str">
        <x:v>Pending source matching</x:v>
      </x:c>
      <x:c r="M159" s="30" t="str">
        <x:v>None</x:v>
      </x:c>
      <x:c r="N159" s="47" t="str">
        <x:v>June2025.xlsx</x:v>
      </x:c>
    </x:row>
    <x:row r="160">
      <x:c r="A160" s="46" t="n">
        <x:v>45819</x:v>
      </x:c>
      <x:c r="B160" s="30" t="str">
        <x:v>Jun-25</x:v>
      </x:c>
      <x:c r="C160" s="30" t="str">
        <x:v>Debit</x:v>
      </x:c>
      <x:c r="D160" s="19" t="str">
        <x:v>FT - DR - 50200082477018 - SANGARSH ENTERPRISES</x:v>
      </x:c>
      <x:c r="E160" s="30" t="str">
        <x:v>0000000000000752</x:v>
      </x:c>
      <x:c r="F160" s="30" t="str">
        <x:v>12/06/25</x:v>
      </x:c>
      <x:c r="G160" s="42" t="n">
        <x:v>53064</x:v>
      </x:c>
      <x:c r="H160" s="42"/>
      <x:c r="I160" s="42" t="n">
        <x:v>549435.23</x:v>
      </x:c>
      <x:c r="J160" s="30" t="str">
        <x:v>Possible vendor / operating payment</x:v>
      </x:c>
      <x:c r="K160" s="30" t="str">
        <x:v>Operating</x:v>
      </x:c>
      <x:c r="L160" s="22" t="str">
        <x:v>Pending source matching</x:v>
      </x:c>
      <x:c r="M160" s="30" t="str">
        <x:v>None</x:v>
      </x:c>
      <x:c r="N160" s="47" t="str">
        <x:v>June2025.xlsx</x:v>
      </x:c>
    </x:row>
    <x:row r="161">
      <x:c r="A161" s="46" t="n">
        <x:v>45823</x:v>
      </x:c>
      <x:c r="B161" s="30" t="str">
        <x:v>Jun-25</x:v>
      </x:c>
      <x:c r="C161" s="30" t="str">
        <x:v>Debit</x:v>
      </x:c>
      <x:c r="D161" s="19" t="str">
        <x:v>CHQ PAID-MICR CTS-MU-KONE ELEVATOR INDIA</x:v>
      </x:c>
      <x:c r="E161" s="30" t="str">
        <x:v>0000000000000767</x:v>
      </x:c>
      <x:c r="F161" s="30" t="str">
        <x:v>16/06/25</x:v>
      </x:c>
      <x:c r="G161" s="42" t="n">
        <x:v>124660</x:v>
      </x:c>
      <x:c r="H161" s="42"/>
      <x:c r="I161" s="42" t="n">
        <x:v>424775.23</x:v>
      </x:c>
      <x:c r="J161" s="30" t="str">
        <x:v>Possible vendor / operating payment</x:v>
      </x:c>
      <x:c r="K161" s="30" t="str">
        <x:v>Operating</x:v>
      </x:c>
      <x:c r="L161" s="22" t="str">
        <x:v>Pending source matching</x:v>
      </x:c>
      <x:c r="M161" s="30" t="str">
        <x:v>None</x:v>
      </x:c>
      <x:c r="N161" s="47" t="str">
        <x:v>June2025.xlsx</x:v>
      </x:c>
    </x:row>
    <x:row r="162">
      <x:c r="A162" s="46" t="n">
        <x:v>45823</x:v>
      </x:c>
      <x:c r="B162" s="30" t="str">
        <x:v>Jun-25</x:v>
      </x:c>
      <x:c r="C162" s="30" t="str">
        <x:v>Debit</x:v>
      </x:c>
      <x:c r="D162" s="19" t="str">
        <x:v>CHQ PAID-MICR CTS-MU-SOHAM ENTERPRISES</x:v>
      </x:c>
      <x:c r="E162" s="30" t="str">
        <x:v>0000000000000763</x:v>
      </x:c>
      <x:c r="F162" s="30" t="str">
        <x:v>16/06/25</x:v>
      </x:c>
      <x:c r="G162" s="42" t="n">
        <x:v>5000</x:v>
      </x:c>
      <x:c r="H162" s="42"/>
      <x:c r="I162" s="42" t="n">
        <x:v>419775.23</x:v>
      </x:c>
      <x:c r="J162" s="30" t="str">
        <x:v>Possible vendor / operating payment</x:v>
      </x:c>
      <x:c r="K162" s="30" t="str">
        <x:v>Operating</x:v>
      </x:c>
      <x:c r="L162" s="22" t="str">
        <x:v>Pending source matching</x:v>
      </x:c>
      <x:c r="M162" s="30" t="str">
        <x:v>None</x:v>
      </x:c>
      <x:c r="N162" s="47" t="str">
        <x:v>June2025.xlsx</x:v>
      </x:c>
    </x:row>
    <x:row r="163">
      <x:c r="A163" s="46" t="n">
        <x:v>45823</x:v>
      </x:c>
      <x:c r="B163" s="30" t="str">
        <x:v>Jun-25</x:v>
      </x:c>
      <x:c r="C163" s="30" t="str">
        <x:v>Debit</x:v>
      </x:c>
      <x:c r="D163" s="19" t="str">
        <x:v>CHQ PAID-MICR CTS-MU-MATSONS MULTI SERVI</x:v>
      </x:c>
      <x:c r="E163" s="30" t="str">
        <x:v>0000000000000768</x:v>
      </x:c>
      <x:c r="F163" s="30" t="str">
        <x:v>16/06/25</x:v>
      </x:c>
      <x:c r="G163" s="42" t="n">
        <x:v>13333</x:v>
      </x:c>
      <x:c r="H163" s="42"/>
      <x:c r="I163" s="42" t="n">
        <x:v>406442.23</x:v>
      </x:c>
      <x:c r="J163" s="30" t="str">
        <x:v>Possible vendor / operating payment</x:v>
      </x:c>
      <x:c r="K163" s="30" t="str">
        <x:v>Operating</x:v>
      </x:c>
      <x:c r="L163" s="22" t="str">
        <x:v>Pending source matching</x:v>
      </x:c>
      <x:c r="M163" s="30" t="str">
        <x:v>None</x:v>
      </x:c>
      <x:c r="N163" s="47" t="str">
        <x:v>June2025.xlsx</x:v>
      </x:c>
    </x:row>
    <x:row r="164">
      <x:c r="A164" s="46" t="n">
        <x:v>45824</x:v>
      </x:c>
      <x:c r="B164" s="30" t="str">
        <x:v>Jun-25</x:v>
      </x:c>
      <x:c r="C164" s="30" t="str">
        <x:v>Debit</x:v>
      </x:c>
      <x:c r="D164" s="19" t="str">
        <x:v>CHQ PAID-MICR CTS-MU-MOHENDEN WASHMARE</x:v>
      </x:c>
      <x:c r="E164" s="30" t="str">
        <x:v>0000000000000761</x:v>
      </x:c>
      <x:c r="F164" s="30" t="str">
        <x:v>17/06/25</x:v>
      </x:c>
      <x:c r="G164" s="42" t="n">
        <x:v>5000</x:v>
      </x:c>
      <x:c r="H164" s="42"/>
      <x:c r="I164" s="42" t="n">
        <x:v>401442.23</x:v>
      </x:c>
      <x:c r="J164" s="30" t="str">
        <x:v>Possible vendor / operating payment</x:v>
      </x:c>
      <x:c r="K164" s="30" t="str">
        <x:v>Operating</x:v>
      </x:c>
      <x:c r="L164" s="22" t="str">
        <x:v>Pending source matching</x:v>
      </x:c>
      <x:c r="M164" s="30" t="str">
        <x:v>None</x:v>
      </x:c>
      <x:c r="N164" s="47" t="str">
        <x:v>June2025.xlsx</x:v>
      </x:c>
    </x:row>
    <x:row r="165">
      <x:c r="A165" s="46" t="n">
        <x:v>45824</x:v>
      </x:c>
      <x:c r="B165" s="30" t="str">
        <x:v>Jun-25</x:v>
      </x:c>
      <x:c r="C165" s="30" t="str">
        <x:v>Debit</x:v>
      </x:c>
      <x:c r="D165" s="19" t="str">
        <x:v>CHQ PAID-MICR CTS-MU-ABHIJIT J DESHMUKH</x:v>
      </x:c>
      <x:c r="E165" s="30" t="str">
        <x:v>0000000000000770</x:v>
      </x:c>
      <x:c r="F165" s="30" t="str">
        <x:v>17/06/25</x:v>
      </x:c>
      <x:c r="G165" s="42" t="n">
        <x:v>5780</x:v>
      </x:c>
      <x:c r="H165" s="42"/>
      <x:c r="I165" s="42" t="n">
        <x:v>395662.23</x:v>
      </x:c>
      <x:c r="J165" s="30" t="str">
        <x:v>Possible vendor / operating payment</x:v>
      </x:c>
      <x:c r="K165" s="30" t="str">
        <x:v>Operating</x:v>
      </x:c>
      <x:c r="L165" s="22" t="str">
        <x:v>Pending source matching</x:v>
      </x:c>
      <x:c r="M165" s="30" t="str">
        <x:v>None</x:v>
      </x:c>
      <x:c r="N165" s="47" t="str">
        <x:v>June2025.xlsx</x:v>
      </x:c>
    </x:row>
    <x:row r="166">
      <x:c r="A166" s="46" t="n">
        <x:v>45825</x:v>
      </x:c>
      <x:c r="B166" s="30" t="str">
        <x:v>Jun-25</x:v>
      </x:c>
      <x:c r="C166" s="30" t="str">
        <x:v>Debit</x:v>
      </x:c>
      <x:c r="D166" s="19" t="str">
        <x:v>0181561993055/SBIEPYHIGHTENSIONHTP</x:v>
      </x:c>
      <x:c r="E166" s="30" t="str">
        <x:v>0000251690679255</x:v>
      </x:c>
      <x:c r="F166" s="30" t="str">
        <x:v>18/06/25</x:v>
      </x:c>
      <x:c r="G166" s="42" t="n">
        <x:v>16440</x:v>
      </x:c>
      <x:c r="H166" s="42"/>
      <x:c r="I166" s="42" t="n">
        <x:v>379222.23</x:v>
      </x:c>
      <x:c r="J166" s="30" t="str">
        <x:v>Possible vendor / operating payment</x:v>
      </x:c>
      <x:c r="K166" s="30" t="str">
        <x:v>Operating</x:v>
      </x:c>
      <x:c r="L166" s="22" t="str">
        <x:v>Pending source matching</x:v>
      </x:c>
      <x:c r="M166" s="30" t="str">
        <x:v>None</x:v>
      </x:c>
      <x:c r="N166" s="47" t="str">
        <x:v>June2025.xlsx</x:v>
      </x:c>
    </x:row>
    <x:row r="167">
      <x:c r="A167" s="46" t="n">
        <x:v>45825</x:v>
      </x:c>
      <x:c r="B167" s="30" t="str">
        <x:v>Jun-25</x:v>
      </x:c>
      <x:c r="C167" s="30" t="str">
        <x:v>Debit</x:v>
      </x:c>
      <x:c r="D167" s="19" t="str">
        <x:v>3116032492739/SBIEPYHIGHTENSIONHTP</x:v>
      </x:c>
      <x:c r="E167" s="30" t="str">
        <x:v>0000251690679792</x:v>
      </x:c>
      <x:c r="F167" s="30" t="str">
        <x:v>18/06/25</x:v>
      </x:c>
      <x:c r="G167" s="42" t="n">
        <x:v>4120</x:v>
      </x:c>
      <x:c r="H167" s="42"/>
      <x:c r="I167" s="42" t="n">
        <x:v>375102.23</x:v>
      </x:c>
      <x:c r="J167" s="30" t="str">
        <x:v>Possible vendor / operating payment</x:v>
      </x:c>
      <x:c r="K167" s="30" t="str">
        <x:v>Operating</x:v>
      </x:c>
      <x:c r="L167" s="22" t="str">
        <x:v>Pending source matching</x:v>
      </x:c>
      <x:c r="M167" s="30" t="str">
        <x:v>None</x:v>
      </x:c>
      <x:c r="N167" s="47" t="str">
        <x:v>June2025.xlsx</x:v>
      </x:c>
    </x:row>
    <x:row r="168">
      <x:c r="A168" s="46" t="n">
        <x:v>45825</x:v>
      </x:c>
      <x:c r="B168" s="30" t="str">
        <x:v>Jun-25</x:v>
      </x:c>
      <x:c r="C168" s="30" t="str">
        <x:v>Debit</x:v>
      </x:c>
      <x:c r="D168" s="19" t="str">
        <x:v>4515699043746/SBIEPYHIGHTENSIONHTP</x:v>
      </x:c>
      <x:c r="E168" s="30" t="str">
        <x:v>0000251690681666</x:v>
      </x:c>
      <x:c r="F168" s="30" t="str">
        <x:v>18/06/25</x:v>
      </x:c>
      <x:c r="G168" s="42" t="n">
        <x:v>5540</x:v>
      </x:c>
      <x:c r="H168" s="42"/>
      <x:c r="I168" s="42" t="n">
        <x:v>369562.23</x:v>
      </x:c>
      <x:c r="J168" s="30" t="str">
        <x:v>Possible vendor / operating payment</x:v>
      </x:c>
      <x:c r="K168" s="30" t="str">
        <x:v>Operating</x:v>
      </x:c>
      <x:c r="L168" s="22" t="str">
        <x:v>Pending source matching</x:v>
      </x:c>
      <x:c r="M168" s="30" t="str">
        <x:v>None</x:v>
      </x:c>
      <x:c r="N168" s="47" t="str">
        <x:v>June2025.xlsx</x:v>
      </x:c>
    </x:row>
    <x:row r="169">
      <x:c r="A169" s="46" t="n">
        <x:v>45825</x:v>
      </x:c>
      <x:c r="B169" s="30" t="str">
        <x:v>Jun-25</x:v>
      </x:c>
      <x:c r="C169" s="30" t="str">
        <x:v>Debit</x:v>
      </x:c>
      <x:c r="D169" s="19" t="str">
        <x:v>5443632287546/SBIEPYHIGHTENSIONHTP</x:v>
      </x:c>
      <x:c r="E169" s="30" t="str">
        <x:v>0000251690683706</x:v>
      </x:c>
      <x:c r="F169" s="30" t="str">
        <x:v>18/06/25</x:v>
      </x:c>
      <x:c r="G169" s="42" t="n">
        <x:v>44870</x:v>
      </x:c>
      <x:c r="H169" s="42"/>
      <x:c r="I169" s="42" t="n">
        <x:v>324692.23</x:v>
      </x:c>
      <x:c r="J169" s="30" t="str">
        <x:v>Possible vendor / operating payment</x:v>
      </x:c>
      <x:c r="K169" s="30" t="str">
        <x:v>Operating</x:v>
      </x:c>
      <x:c r="L169" s="22" t="str">
        <x:v>Pending source matching</x:v>
      </x:c>
      <x:c r="M169" s="30" t="str">
        <x:v>None</x:v>
      </x:c>
      <x:c r="N169" s="47" t="str">
        <x:v>June2025.xlsx</x:v>
      </x:c>
    </x:row>
    <x:row r="170">
      <x:c r="A170" s="46" t="n">
        <x:v>45825</x:v>
      </x:c>
      <x:c r="B170" s="30" t="str">
        <x:v>Jun-25</x:v>
      </x:c>
      <x:c r="C170" s="30" t="str">
        <x:v>Debit</x:v>
      </x:c>
      <x:c r="D170" s="19" t="str">
        <x:v>6555151594315/SBIEPYHIGHTENSIONHTP</x:v>
      </x:c>
      <x:c r="E170" s="30" t="str">
        <x:v>0000251690684502</x:v>
      </x:c>
      <x:c r="F170" s="30" t="str">
        <x:v>18/06/25</x:v>
      </x:c>
      <x:c r="G170" s="42" t="n">
        <x:v>4390</x:v>
      </x:c>
      <x:c r="H170" s="42"/>
      <x:c r="I170" s="42" t="n">
        <x:v>320302.23</x:v>
      </x:c>
      <x:c r="J170" s="30" t="str">
        <x:v>Possible vendor / operating payment</x:v>
      </x:c>
      <x:c r="K170" s="30" t="str">
        <x:v>Operating</x:v>
      </x:c>
      <x:c r="L170" s="22" t="str">
        <x:v>Pending source matching</x:v>
      </x:c>
      <x:c r="M170" s="30" t="str">
        <x:v>None</x:v>
      </x:c>
      <x:c r="N170" s="47" t="str">
        <x:v>June2025.xlsx</x:v>
      </x:c>
    </x:row>
    <x:row r="171">
      <x:c r="A171" s="46" t="n">
        <x:v>45825</x:v>
      </x:c>
      <x:c r="B171" s="30" t="str">
        <x:v>Jun-25</x:v>
      </x:c>
      <x:c r="C171" s="30" t="str">
        <x:v>Debit</x:v>
      </x:c>
      <x:c r="D171" s="19" t="str">
        <x:v>5811983925915/SBIEPYHIGHTENSIONHTP</x:v>
      </x:c>
      <x:c r="E171" s="30" t="str">
        <x:v>0000251690683571</x:v>
      </x:c>
      <x:c r="F171" s="30" t="str">
        <x:v>18/06/25</x:v>
      </x:c>
      <x:c r="G171" s="42" t="n">
        <x:v>6970</x:v>
      </x:c>
      <x:c r="H171" s="42"/>
      <x:c r="I171" s="42" t="n">
        <x:v>313332.23</x:v>
      </x:c>
      <x:c r="J171" s="30" t="str">
        <x:v>Possible vendor / operating payment</x:v>
      </x:c>
      <x:c r="K171" s="30" t="str">
        <x:v>Operating</x:v>
      </x:c>
      <x:c r="L171" s="22" t="str">
        <x:v>Pending source matching</x:v>
      </x:c>
      <x:c r="M171" s="30" t="str">
        <x:v>None</x:v>
      </x:c>
      <x:c r="N171" s="47" t="str">
        <x:v>June2025.xlsx</x:v>
      </x:c>
    </x:row>
    <x:row r="172">
      <x:c r="A172" s="46" t="n">
        <x:v>45825</x:v>
      </x:c>
      <x:c r="B172" s="30" t="str">
        <x:v>Jun-25</x:v>
      </x:c>
      <x:c r="C172" s="30" t="str">
        <x:v>Debit</x:v>
      </x:c>
      <x:c r="D172" s="19" t="str">
        <x:v>1218770732219/SBIEPYHIGHTENSIONHTP</x:v>
      </x:c>
      <x:c r="E172" s="30" t="str">
        <x:v>0000251690683683</x:v>
      </x:c>
      <x:c r="F172" s="30" t="str">
        <x:v>18/06/25</x:v>
      </x:c>
      <x:c r="G172" s="42" t="n">
        <x:v>4770</x:v>
      </x:c>
      <x:c r="H172" s="42"/>
      <x:c r="I172" s="42" t="n">
        <x:v>308562.23</x:v>
      </x:c>
      <x:c r="J172" s="30" t="str">
        <x:v>Possible vendor / operating payment</x:v>
      </x:c>
      <x:c r="K172" s="30" t="str">
        <x:v>Operating</x:v>
      </x:c>
      <x:c r="L172" s="22" t="str">
        <x:v>Pending source matching</x:v>
      </x:c>
      <x:c r="M172" s="30" t="str">
        <x:v>None</x:v>
      </x:c>
      <x:c r="N172" s="47" t="str">
        <x:v>June2025.xlsx</x:v>
      </x:c>
    </x:row>
    <x:row r="173">
      <x:c r="A173" s="46" t="n">
        <x:v>45825</x:v>
      </x:c>
      <x:c r="B173" s="30" t="str">
        <x:v>Jun-25</x:v>
      </x:c>
      <x:c r="C173" s="30" t="str">
        <x:v>Debit</x:v>
      </x:c>
      <x:c r="D173" s="19" t="str">
        <x:v>4458743232819/SBIEPYHIGHTENSIONHTP</x:v>
      </x:c>
      <x:c r="E173" s="30" t="str">
        <x:v>0000251690685127</x:v>
      </x:c>
      <x:c r="F173" s="30" t="str">
        <x:v>18/06/25</x:v>
      </x:c>
      <x:c r="G173" s="42" t="n">
        <x:v>32310</x:v>
      </x:c>
      <x:c r="H173" s="42"/>
      <x:c r="I173" s="42" t="n">
        <x:v>276252.23</x:v>
      </x:c>
      <x:c r="J173" s="30" t="str">
        <x:v>Possible vendor / operating payment</x:v>
      </x:c>
      <x:c r="K173" s="30" t="str">
        <x:v>Operating</x:v>
      </x:c>
      <x:c r="L173" s="22" t="str">
        <x:v>Pending source matching</x:v>
      </x:c>
      <x:c r="M173" s="30" t="str">
        <x:v>None</x:v>
      </x:c>
      <x:c r="N173" s="47" t="str">
        <x:v>June2025.xlsx</x:v>
      </x:c>
    </x:row>
    <x:row r="174">
      <x:c r="A174" s="46" t="n">
        <x:v>45825</x:v>
      </x:c>
      <x:c r="B174" s="30" t="str">
        <x:v>Jun-25</x:v>
      </x:c>
      <x:c r="C174" s="30" t="str">
        <x:v>Debit</x:v>
      </x:c>
      <x:c r="D174" s="19" t="str">
        <x:v>4419273703439/SBIEPYHIGHTENSIONHTP</x:v>
      </x:c>
      <x:c r="E174" s="30" t="str">
        <x:v>0000251690685350</x:v>
      </x:c>
      <x:c r="F174" s="30" t="str">
        <x:v>18/06/25</x:v>
      </x:c>
      <x:c r="G174" s="42" t="n">
        <x:v>2050</x:v>
      </x:c>
      <x:c r="H174" s="42"/>
      <x:c r="I174" s="42" t="n">
        <x:v>274202.23</x:v>
      </x:c>
      <x:c r="J174" s="30" t="str">
        <x:v>Possible vendor / operating payment</x:v>
      </x:c>
      <x:c r="K174" s="30" t="str">
        <x:v>Operating</x:v>
      </x:c>
      <x:c r="L174" s="22" t="str">
        <x:v>Pending source matching</x:v>
      </x:c>
      <x:c r="M174" s="30" t="str">
        <x:v>None</x:v>
      </x:c>
      <x:c r="N174" s="47" t="str">
        <x:v>June2025.xlsx</x:v>
      </x:c>
    </x:row>
    <x:row r="175">
      <x:c r="A175" s="46" t="n">
        <x:v>45826</x:v>
      </x:c>
      <x:c r="B175" s="30" t="str">
        <x:v>Jun-25</x:v>
      </x:c>
      <x:c r="C175" s="30" t="str">
        <x:v>Credit</x:v>
      </x:c>
      <x:c r="D175" s="19" t="str">
        <x:v>UPI SETTLEMENT -DKB258- 19/06/25</x:v>
      </x:c>
      <x:c r="E175" s="30" t="str">
        <x:v>000000000000000</x:v>
      </x:c>
      <x:c r="F175" s="30" t="str">
        <x:v>19/06/25</x:v>
      </x:c>
      <x:c r="G175" s="42"/>
      <x:c r="H175" s="42" t="n">
        <x:v>1500</x:v>
      </x:c>
      <x:c r="I175" s="42" t="n">
        <x:v>275702.23</x:v>
      </x:c>
      <x:c r="J175" s="30" t="str">
        <x:v>Possible collection</x:v>
      </x:c>
      <x:c r="K175" s="30" t="str">
        <x:v>Operating</x:v>
      </x:c>
      <x:c r="L175" s="22" t="str">
        <x:v>Pending source matching</x:v>
      </x:c>
      <x:c r="M175" s="30" t="str">
        <x:v>None</x:v>
      </x:c>
      <x:c r="N175" s="47" t="str">
        <x:v>June2025.xlsx</x:v>
      </x:c>
    </x:row>
    <x:row r="176">
      <x:c r="A176" s="46" t="n">
        <x:v>45829</x:v>
      </x:c>
      <x:c r="B176" s="30" t="str">
        <x:v>Jun-25</x:v>
      </x:c>
      <x:c r="C176" s="30" t="str">
        <x:v>Credit</x:v>
      </x:c>
      <x:c r="D176" s="19" t="str">
        <x:v>UPI SETTLEMENT -DKB258- 22/06/25</x:v>
      </x:c>
      <x:c r="E176" s="30" t="str">
        <x:v>000000000000000</x:v>
      </x:c>
      <x:c r="F176" s="30" t="str">
        <x:v>22/06/25</x:v>
      </x:c>
      <x:c r="G176" s="42"/>
      <x:c r="H176" s="42" t="n">
        <x:v>7000</x:v>
      </x:c>
      <x:c r="I176" s="42" t="n">
        <x:v>282702.23</x:v>
      </x:c>
      <x:c r="J176" s="30" t="str">
        <x:v>Possible collection</x:v>
      </x:c>
      <x:c r="K176" s="30" t="str">
        <x:v>Operating</x:v>
      </x:c>
      <x:c r="L176" s="22" t="str">
        <x:v>Pending source matching</x:v>
      </x:c>
      <x:c r="M176" s="30" t="str">
        <x:v>None</x:v>
      </x:c>
      <x:c r="N176" s="47" t="str">
        <x:v>June2025.xlsx</x:v>
      </x:c>
    </x:row>
    <x:row r="177">
      <x:c r="A177" s="46" t="n">
        <x:v>45832</x:v>
      </x:c>
      <x:c r="B177" s="30" t="str">
        <x:v>Jun-25</x:v>
      </x:c>
      <x:c r="C177" s="30" t="str">
        <x:v>Credit</x:v>
      </x:c>
      <x:c r="D177" s="19" t="str">
        <x:v>UPI SETTLEMENT -DKB258- 25/06/25</x:v>
      </x:c>
      <x:c r="E177" s="30" t="str">
        <x:v>000000000000000</x:v>
      </x:c>
      <x:c r="F177" s="30" t="str">
        <x:v>25/06/25</x:v>
      </x:c>
      <x:c r="G177" s="42"/>
      <x:c r="H177" s="42" t="n">
        <x:v>2000</x:v>
      </x:c>
      <x:c r="I177" s="42" t="n">
        <x:v>284702.23</x:v>
      </x:c>
      <x:c r="J177" s="30" t="str">
        <x:v>Possible collection</x:v>
      </x:c>
      <x:c r="K177" s="30" t="str">
        <x:v>Operating</x:v>
      </x:c>
      <x:c r="L177" s="22" t="str">
        <x:v>Pending source matching</x:v>
      </x:c>
      <x:c r="M177" s="30" t="str">
        <x:v>None</x:v>
      </x:c>
      <x:c r="N177" s="47" t="str">
        <x:v>June2025.xlsx</x:v>
      </x:c>
    </x:row>
    <x:row r="178">
      <x:c r="A178" s="46" t="n">
        <x:v>45834</x:v>
      </x:c>
      <x:c r="B178" s="30" t="str">
        <x:v>Jun-25</x:v>
      </x:c>
      <x:c r="C178" s="30" t="str">
        <x:v>Credit</x:v>
      </x:c>
      <x:c r="D178" s="19" t="str">
        <x:v>NEFT CR-ICIC0SF0002-VIVISH TECHNOLOGIES PRIVATE LIMITED-MONTVERTBIARRITZCOOPHOUSINGSOCIETYLTD-ICICN42025062756732810</x:v>
      </x:c>
      <x:c r="E178" s="30" t="str">
        <x:v>ICICN42025062756732810</x:v>
      </x:c>
      <x:c r="F178" s="30" t="str">
        <x:v>27/06/25</x:v>
      </x:c>
      <x:c r="G178" s="42"/>
      <x:c r="H178" s="42" t="n">
        <x:v>25303.13</x:v>
      </x:c>
      <x:c r="I178" s="42" t="n">
        <x:v>310005.36</x:v>
      </x:c>
      <x:c r="J178" s="30" t="str">
        <x:v>Possible collection</x:v>
      </x:c>
      <x:c r="K178" s="30" t="str">
        <x:v>Operating</x:v>
      </x:c>
      <x:c r="L178" s="22" t="str">
        <x:v>Pending source matching</x:v>
      </x:c>
      <x:c r="M178" s="30" t="str">
        <x:v>None</x:v>
      </x:c>
      <x:c r="N178" s="47" t="str">
        <x:v>June2025.xlsx</x:v>
      </x:c>
    </x:row>
    <x:row r="179">
      <x:c r="A179" s="46" t="n">
        <x:v>45837</x:v>
      </x:c>
      <x:c r="B179" s="30" t="str">
        <x:v>Jun-25</x:v>
      </x:c>
      <x:c r="C179" s="30" t="str">
        <x:v>Credit</x:v>
      </x:c>
      <x:c r="D179" s="19" t="str">
        <x:v>INTEREST CREDIT 50301146438375</x:v>
      </x:c>
      <x:c r="E179" s="30" t="str">
        <x:v>3304220250630763</x:v>
      </x:c>
      <x:c r="F179" s="30" t="str">
        <x:v>30/06/25</x:v>
      </x:c>
      <x:c r="G179" s="42"/>
      <x:c r="H179" s="42" t="n">
        <x:v>1800</x:v>
      </x:c>
      <x:c r="I179" s="42" t="n">
        <x:v>311805.36</x:v>
      </x:c>
      <x:c r="J179" s="30" t="str">
        <x:v>Interest income</x:v>
      </x:c>
      <x:c r="K179" s="30" t="str">
        <x:v>Investment</x:v>
      </x:c>
      <x:c r="L179" s="22" t="str">
        <x:v>Pending source matching</x:v>
      </x:c>
      <x:c r="M179" s="30" t="str">
        <x:v>None</x:v>
      </x:c>
      <x:c r="N179" s="47" t="str">
        <x:v>June2025.xlsx</x:v>
      </x:c>
    </x:row>
    <x:row r="180">
      <x:c r="A180" s="46" t="n">
        <x:v>45837</x:v>
      </x:c>
      <x:c r="B180" s="30" t="str">
        <x:v>Jun-25</x:v>
      </x:c>
      <x:c r="C180" s="30" t="str">
        <x:v>Credit</x:v>
      </x:c>
      <x:c r="D180" s="19" t="str">
        <x:v>PRIN AND INT AUTO_REDEEM 50301146438375</x:v>
      </x:c>
      <x:c r="E180" s="30" t="str">
        <x:v>3304220250630793</x:v>
      </x:c>
      <x:c r="F180" s="30" t="str">
        <x:v>30/06/25</x:v>
      </x:c>
      <x:c r="G180" s="42"/>
      <x:c r="H180" s="42" t="n">
        <x:v>200000</x:v>
      </x:c>
      <x:c r="I180" s="42" t="n">
        <x:v>511805.36</x:v>
      </x:c>
      <x:c r="J180" s="30" t="str">
        <x:v>FD maturity / redemption</x:v>
      </x:c>
      <x:c r="K180" s="30" t="str">
        <x:v>Investment</x:v>
      </x:c>
      <x:c r="L180" s="22" t="str">
        <x:v>Pending source matching</x:v>
      </x:c>
      <x:c r="M180" s="30" t="str">
        <x:v>None</x:v>
      </x:c>
      <x:c r="N180" s="47" t="str">
        <x:v>June2025.xlsx</x:v>
      </x:c>
    </x:row>
    <x:row r="181">
      <x:c r="A181" s="46" t="n">
        <x:v>45837</x:v>
      </x:c>
      <x:c r="B181" s="30" t="str">
        <x:v>Jun-25</x:v>
      </x:c>
      <x:c r="C181" s="30" t="str">
        <x:v>Credit</x:v>
      </x:c>
      <x:c r="D181" s="19" t="str">
        <x:v>NEFT CR-ICIC0SF0002-VIVISH TECHNOLOGIES PRIVATE LIMITED-MONTVERTBIARRITZCOOPHOUSINGSOCIETYLTD-ICICN42025063058482081</x:v>
      </x:c>
      <x:c r="E181" s="30" t="str">
        <x:v>ICICN42025063058482081</x:v>
      </x:c>
      <x:c r="F181" s="30" t="str">
        <x:v>30/06/25</x:v>
      </x:c>
      <x:c r="G181" s="42"/>
      <x:c r="H181" s="42" t="n">
        <x:v>6000</x:v>
      </x:c>
      <x:c r="I181" s="42" t="n">
        <x:v>517805.36</x:v>
      </x:c>
      <x:c r="J181" s="30" t="str">
        <x:v>Possible collection</x:v>
      </x:c>
      <x:c r="K181" s="30" t="str">
        <x:v>Operating</x:v>
      </x:c>
      <x:c r="L181" s="22" t="str">
        <x:v>Pending source matching</x:v>
      </x:c>
      <x:c r="M181" s="30" t="str">
        <x:v>None</x:v>
      </x:c>
      <x:c r="N181" s="47" t="str">
        <x:v>June2025.xlsx</x:v>
      </x:c>
    </x:row>
    <x:row r="182">
      <x:c r="A182" s="46" t="n">
        <x:v>45837</x:v>
      </x:c>
      <x:c r="B182" s="30" t="str">
        <x:v>Jun-25</x:v>
      </x:c>
      <x:c r="C182" s="30" t="str">
        <x:v>Debit</x:v>
      </x:c>
      <x:c r="D182" s="19" t="str">
        <x:v>FT - DR - 50200082477018 - SANGARSH ENTERPRISES</x:v>
      </x:c>
      <x:c r="E182" s="30" t="str">
        <x:v>0000000000000777</x:v>
      </x:c>
      <x:c r="F182" s="30" t="str">
        <x:v>30/06/25</x:v>
      </x:c>
      <x:c r="G182" s="42" t="n">
        <x:v>15451</x:v>
      </x:c>
      <x:c r="H182" s="42"/>
      <x:c r="I182" s="42" t="n">
        <x:v>502354.36</x:v>
      </x:c>
      <x:c r="J182" s="30" t="str">
        <x:v>Possible vendor / operating payment</x:v>
      </x:c>
      <x:c r="K182" s="30" t="str">
        <x:v>Operating</x:v>
      </x:c>
      <x:c r="L182" s="22" t="str">
        <x:v>Pending source matching</x:v>
      </x:c>
      <x:c r="M182" s="30" t="str">
        <x:v>None</x:v>
      </x:c>
      <x:c r="N182" s="47" t="str">
        <x:v>June2025.xlsx</x:v>
      </x:c>
    </x:row>
    <x:row r="183">
      <x:c r="A183" s="46" t="n">
        <x:v>45839</x:v>
      </x:c>
      <x:c r="B183" s="30" t="str">
        <x:v>Jul-25</x:v>
      </x:c>
      <x:c r="C183" s="30" t="str">
        <x:v>Debit</x:v>
      </x:c>
      <x:c r="D183" s="19" t="str">
        <x:v>CHQ PAID-MICR CTS-MU-SOMANATH MOHANTY</x:v>
      </x:c>
      <x:c r="E183" s="30" t="str">
        <x:v>0000000000000778</x:v>
      </x:c>
      <x:c r="F183" s="30" t="str">
        <x:v>02/07/25</x:v>
      </x:c>
      <x:c r="G183" s="42" t="n">
        <x:v>15000</x:v>
      </x:c>
      <x:c r="H183" s="42"/>
      <x:c r="I183" s="42" t="n">
        <x:v>487354.36</x:v>
      </x:c>
      <x:c r="J183" s="30" t="str">
        <x:v>Possible vendor / operating payment</x:v>
      </x:c>
      <x:c r="K183" s="30" t="str">
        <x:v>Operating</x:v>
      </x:c>
      <x:c r="L183" s="22" t="str">
        <x:v>Pending source matching</x:v>
      </x:c>
      <x:c r="M183" s="30" t="str">
        <x:v>None</x:v>
      </x:c>
      <x:c r="N183" s="47" t="str">
        <x:v>July2025.xlsx</x:v>
      </x:c>
    </x:row>
    <x:row r="184">
      <x:c r="A184" s="46" t="n">
        <x:v>45840</x:v>
      </x:c>
      <x:c r="B184" s="30" t="str">
        <x:v>Jul-25</x:v>
      </x:c>
      <x:c r="C184" s="30" t="str">
        <x:v>Debit</x:v>
      </x:c>
      <x:c r="D184" s="19" t="str">
        <x:v>CHQ PAID-MICR CTS-MU-ATUL ARUN JOSHI SOL</x:v>
      </x:c>
      <x:c r="E184" s="30" t="str">
        <x:v>0000000000000776</x:v>
      </x:c>
      <x:c r="F184" s="30" t="str">
        <x:v>03/07/25</x:v>
      </x:c>
      <x:c r="G184" s="42" t="n">
        <x:v>5000</x:v>
      </x:c>
      <x:c r="H184" s="42"/>
      <x:c r="I184" s="42" t="n">
        <x:v>482354.36</x:v>
      </x:c>
      <x:c r="J184" s="30" t="str">
        <x:v>Possible vendor / operating payment</x:v>
      </x:c>
      <x:c r="K184" s="30" t="str">
        <x:v>Operating</x:v>
      </x:c>
      <x:c r="L184" s="22" t="str">
        <x:v>Pending source matching</x:v>
      </x:c>
      <x:c r="M184" s="30" t="str">
        <x:v>None</x:v>
      </x:c>
      <x:c r="N184" s="47" t="str">
        <x:v>July2025.xlsx</x:v>
      </x:c>
    </x:row>
    <x:row r="185">
      <x:c r="A185" s="46" t="n">
        <x:v>45840</x:v>
      </x:c>
      <x:c r="B185" s="30" t="str">
        <x:v>Jul-25</x:v>
      </x:c>
      <x:c r="C185" s="30" t="str">
        <x:v>Credit</x:v>
      </x:c>
      <x:c r="D185" s="19" t="str">
        <x:v>NEFT CR-ICIC0SF0002-VIVISH TECHNOLOGIES PRIVATE LIMITED-MONTVERTBIARRITZCOOPHOUSINGSOCIETYLTD-ICICN42025070350953267</x:v>
      </x:c>
      <x:c r="E185" s="30" t="str">
        <x:v>ICICN42025070350953267</x:v>
      </x:c>
      <x:c r="F185" s="30" t="str">
        <x:v>03/07/25</x:v>
      </x:c>
      <x:c r="G185" s="42"/>
      <x:c r="H185" s="42" t="n">
        <x:v>28263.5</x:v>
      </x:c>
      <x:c r="I185" s="42" t="n">
        <x:v>510617.86</x:v>
      </x:c>
      <x:c r="J185" s="30" t="str">
        <x:v>Possible collection</x:v>
      </x:c>
      <x:c r="K185" s="30" t="str">
        <x:v>Operating</x:v>
      </x:c>
      <x:c r="L185" s="22" t="str">
        <x:v>Pending source matching</x:v>
      </x:c>
      <x:c r="M185" s="30" t="str">
        <x:v>None</x:v>
      </x:c>
      <x:c r="N185" s="47" t="str">
        <x:v>July2025.xlsx</x:v>
      </x:c>
    </x:row>
    <x:row r="186">
      <x:c r="A186" s="46" t="n">
        <x:v>45842</x:v>
      </x:c>
      <x:c r="B186" s="30" t="str">
        <x:v>Jul-25</x:v>
      </x:c>
      <x:c r="C186" s="30" t="str">
        <x:v>Debit</x:v>
      </x:c>
      <x:c r="D186" s="19" t="str">
        <x:v>CHQ PAID-MICR CTS-MU-DEEPAK B GAIWAD</x:v>
      </x:c>
      <x:c r="E186" s="30" t="str">
        <x:v>0000000000000782</x:v>
      </x:c>
      <x:c r="F186" s="30" t="str">
        <x:v>05/07/25</x:v>
      </x:c>
      <x:c r="G186" s="42" t="n">
        <x:v>24500</x:v>
      </x:c>
      <x:c r="H186" s="42"/>
      <x:c r="I186" s="42" t="n">
        <x:v>486117.86</x:v>
      </x:c>
      <x:c r="J186" s="30" t="str">
        <x:v>Possible vendor / operating payment</x:v>
      </x:c>
      <x:c r="K186" s="30" t="str">
        <x:v>Operating</x:v>
      </x:c>
      <x:c r="L186" s="22" t="str">
        <x:v>Pending source matching</x:v>
      </x:c>
      <x:c r="M186" s="30" t="str">
        <x:v>None</x:v>
      </x:c>
      <x:c r="N186" s="47" t="str">
        <x:v>July2025.xlsx</x:v>
      </x:c>
    </x:row>
    <x:row r="187">
      <x:c r="A187" s="46" t="n">
        <x:v>45842</x:v>
      </x:c>
      <x:c r="B187" s="30" t="str">
        <x:v>Jul-25</x:v>
      </x:c>
      <x:c r="C187" s="30" t="str">
        <x:v>Debit</x:v>
      </x:c>
      <x:c r="D187" s="19" t="str">
        <x:v>CHQ PAID-MICR CTS-MU-NETWORK SERVICES</x:v>
      </x:c>
      <x:c r="E187" s="30" t="str">
        <x:v>0000000000000785</x:v>
      </x:c>
      <x:c r="F187" s="30" t="str">
        <x:v>05/07/25</x:v>
      </x:c>
      <x:c r="G187" s="42" t="n">
        <x:v>53460</x:v>
      </x:c>
      <x:c r="H187" s="42"/>
      <x:c r="I187" s="42" t="n">
        <x:v>432657.86</x:v>
      </x:c>
      <x:c r="J187" s="30" t="str">
        <x:v>Possible vendor / operating payment</x:v>
      </x:c>
      <x:c r="K187" s="30" t="str">
        <x:v>Operating</x:v>
      </x:c>
      <x:c r="L187" s="22" t="str">
        <x:v>Pending source matching</x:v>
      </x:c>
      <x:c r="M187" s="30" t="str">
        <x:v>None</x:v>
      </x:c>
      <x:c r="N187" s="47" t="str">
        <x:v>July2025.xlsx</x:v>
      </x:c>
    </x:row>
    <x:row r="188">
      <x:c r="A188" s="46" t="n">
        <x:v>45842</x:v>
      </x:c>
      <x:c r="B188" s="30" t="str">
        <x:v>Jul-25</x:v>
      </x:c>
      <x:c r="C188" s="30" t="str">
        <x:v>Debit</x:v>
      </x:c>
      <x:c r="D188" s="19" t="str">
        <x:v>FT - DR - 50100287825650 - ANIMESH DEY</x:v>
      </x:c>
      <x:c r="E188" s="30" t="str">
        <x:v>0000000000000780</x:v>
      </x:c>
      <x:c r="F188" s="30" t="str">
        <x:v>05/07/25</x:v>
      </x:c>
      <x:c r="G188" s="42" t="n">
        <x:v>4500</x:v>
      </x:c>
      <x:c r="H188" s="42"/>
      <x:c r="I188" s="42" t="n">
        <x:v>428157.86</x:v>
      </x:c>
      <x:c r="J188" s="30" t="str">
        <x:v>Possible vendor / operating payment</x:v>
      </x:c>
      <x:c r="K188" s="30" t="str">
        <x:v>Operating</x:v>
      </x:c>
      <x:c r="L188" s="22" t="str">
        <x:v>Pending source matching</x:v>
      </x:c>
      <x:c r="M188" s="30" t="str">
        <x:v>None</x:v>
      </x:c>
      <x:c r="N188" s="47" t="str">
        <x:v>July2025.xlsx</x:v>
      </x:c>
    </x:row>
    <x:row r="189">
      <x:c r="A189" s="46" t="n">
        <x:v>45842</x:v>
      </x:c>
      <x:c r="B189" s="30" t="str">
        <x:v>Jul-25</x:v>
      </x:c>
      <x:c r="C189" s="30" t="str">
        <x:v>Credit</x:v>
      </x:c>
      <x:c r="D189" s="19" t="str">
        <x:v>50200033875780-TPT-B 701 702-SAICON CONSTRUCTIONS AND INFRA LLP</x:v>
      </x:c>
      <x:c r="E189" s="30" t="str">
        <x:v>0000000131990203</x:v>
      </x:c>
      <x:c r="F189" s="30" t="str">
        <x:v>05/07/25</x:v>
      </x:c>
      <x:c r="G189" s="42"/>
      <x:c r="H189" s="42" t="n">
        <x:v>58308</x:v>
      </x:c>
      <x:c r="I189" s="42" t="n">
        <x:v>486465.86</x:v>
      </x:c>
      <x:c r="J189" s="30" t="str">
        <x:v>Other bank credit</x:v>
      </x:c>
      <x:c r="K189" s="30" t="str">
        <x:v>Other</x:v>
      </x:c>
      <x:c r="L189" s="22" t="str">
        <x:v>Pending source matching</x:v>
      </x:c>
      <x:c r="M189" s="30" t="str">
        <x:v>None</x:v>
      </x:c>
      <x:c r="N189" s="47" t="str">
        <x:v>July2025.xlsx</x:v>
      </x:c>
    </x:row>
    <x:row r="190">
      <x:c r="A190" s="46" t="n">
        <x:v>45843</x:v>
      </x:c>
      <x:c r="B190" s="30" t="str">
        <x:v>Jul-25</x:v>
      </x:c>
      <x:c r="C190" s="30" t="str">
        <x:v>Credit</x:v>
      </x:c>
      <x:c r="D190" s="19" t="str">
        <x:v>UPI SETTLEMENT -DKB258- 06/07/25</x:v>
      </x:c>
      <x:c r="E190" s="30" t="str">
        <x:v>000000000000000</x:v>
      </x:c>
      <x:c r="F190" s="30" t="str">
        <x:v>06/07/25</x:v>
      </x:c>
      <x:c r="G190" s="42"/>
      <x:c r="H190" s="42" t="n">
        <x:v>2000</x:v>
      </x:c>
      <x:c r="I190" s="42" t="n">
        <x:v>488465.86</x:v>
      </x:c>
      <x:c r="J190" s="30" t="str">
        <x:v>Possible collection</x:v>
      </x:c>
      <x:c r="K190" s="30" t="str">
        <x:v>Operating</x:v>
      </x:c>
      <x:c r="L190" s="22" t="str">
        <x:v>Pending source matching</x:v>
      </x:c>
      <x:c r="M190" s="30" t="str">
        <x:v>None</x:v>
      </x:c>
      <x:c r="N190" s="47" t="str">
        <x:v>July2025.xlsx</x:v>
      </x:c>
    </x:row>
    <x:row r="191">
      <x:c r="A191" s="46" t="n">
        <x:v>45844</x:v>
      </x:c>
      <x:c r="B191" s="30" t="str">
        <x:v>Jul-25</x:v>
      </x:c>
      <x:c r="C191" s="30" t="str">
        <x:v>Debit</x:v>
      </x:c>
      <x:c r="D191" s="19" t="str">
        <x:v>CHQ PAID-MICR CTS-MU-NARAYAN V GAVRAWAL</x:v>
      </x:c>
      <x:c r="E191" s="30" t="str">
        <x:v>0000000000000786</x:v>
      </x:c>
      <x:c r="F191" s="30" t="str">
        <x:v>07/07/25</x:v>
      </x:c>
      <x:c r="G191" s="42" t="n">
        <x:v>57420</x:v>
      </x:c>
      <x:c r="H191" s="42"/>
      <x:c r="I191" s="42" t="n">
        <x:v>431045.86</x:v>
      </x:c>
      <x:c r="J191" s="30" t="str">
        <x:v>Possible vendor / operating payment</x:v>
      </x:c>
      <x:c r="K191" s="30" t="str">
        <x:v>Operating</x:v>
      </x:c>
      <x:c r="L191" s="22" t="str">
        <x:v>Pending source matching</x:v>
      </x:c>
      <x:c r="M191" s="30" t="str">
        <x:v>None</x:v>
      </x:c>
      <x:c r="N191" s="47" t="str">
        <x:v>July2025.xlsx</x:v>
      </x:c>
    </x:row>
    <x:row r="192">
      <x:c r="A192" s="46" t="n">
        <x:v>45846</x:v>
      </x:c>
      <x:c r="B192" s="30" t="str">
        <x:v>Jul-25</x:v>
      </x:c>
      <x:c r="C192" s="30" t="str">
        <x:v>Debit</x:v>
      </x:c>
      <x:c r="D192" s="19" t="str">
        <x:v>CHQ PAID-MICR CTS-MU-MAHENDER WATHMATE</x:v>
      </x:c>
      <x:c r="E192" s="30" t="str">
        <x:v>0000000000000781</x:v>
      </x:c>
      <x:c r="F192" s="30" t="str">
        <x:v>09/07/25</x:v>
      </x:c>
      <x:c r="G192" s="42" t="n">
        <x:v>5000</x:v>
      </x:c>
      <x:c r="H192" s="42"/>
      <x:c r="I192" s="42" t="n">
        <x:v>426045.86</x:v>
      </x:c>
      <x:c r="J192" s="30" t="str">
        <x:v>Possible vendor / operating payment</x:v>
      </x:c>
      <x:c r="K192" s="30" t="str">
        <x:v>Operating</x:v>
      </x:c>
      <x:c r="L192" s="22" t="str">
        <x:v>Pending source matching</x:v>
      </x:c>
      <x:c r="M192" s="30" t="str">
        <x:v>None</x:v>
      </x:c>
      <x:c r="N192" s="47" t="str">
        <x:v>July2025.xlsx</x:v>
      </x:c>
    </x:row>
    <x:row r="193">
      <x:c r="A193" s="46" t="n">
        <x:v>45847</x:v>
      </x:c>
      <x:c r="B193" s="30" t="str">
        <x:v>Jul-25</x:v>
      </x:c>
      <x:c r="C193" s="30" t="str">
        <x:v>Debit</x:v>
      </x:c>
      <x:c r="D193" s="19" t="str">
        <x:v>CHQ PAID-MICR CTS-MU-BHAGWAT FASAGE</x:v>
      </x:c>
      <x:c r="E193" s="30" t="str">
        <x:v>0000000000000787</x:v>
      </x:c>
      <x:c r="F193" s="30" t="str">
        <x:v>10/07/25</x:v>
      </x:c>
      <x:c r="G193" s="42" t="n">
        <x:v>4500</x:v>
      </x:c>
      <x:c r="H193" s="42"/>
      <x:c r="I193" s="42" t="n">
        <x:v>421545.86</x:v>
      </x:c>
      <x:c r="J193" s="30" t="str">
        <x:v>Possible vendor / operating payment</x:v>
      </x:c>
      <x:c r="K193" s="30" t="str">
        <x:v>Operating</x:v>
      </x:c>
      <x:c r="L193" s="22" t="str">
        <x:v>Pending source matching</x:v>
      </x:c>
      <x:c r="M193" s="30" t="str">
        <x:v>None</x:v>
      </x:c>
      <x:c r="N193" s="47" t="str">
        <x:v>July2025.xlsx</x:v>
      </x:c>
    </x:row>
    <x:row r="194">
      <x:c r="A194" s="46" t="n">
        <x:v>45847</x:v>
      </x:c>
      <x:c r="B194" s="30" t="str">
        <x:v>Jul-25</x:v>
      </x:c>
      <x:c r="C194" s="30" t="str">
        <x:v>Debit</x:v>
      </x:c>
      <x:c r="D194" s="19" t="str">
        <x:v>CHQ PAID-MICR CTS-MU-MONT VERT BLARTE CO</x:v>
      </x:c>
      <x:c r="E194" s="30" t="str">
        <x:v>0000000000000788</x:v>
      </x:c>
      <x:c r="F194" s="30" t="str">
        <x:v>10/07/25</x:v>
      </x:c>
      <x:c r="G194" s="42" t="n">
        <x:v>144000</x:v>
      </x:c>
      <x:c r="H194" s="42"/>
      <x:c r="I194" s="42" t="n">
        <x:v>277545.86</x:v>
      </x:c>
      <x:c r="J194" s="30" t="str">
        <x:v>Possible vendor / operating payment</x:v>
      </x:c>
      <x:c r="K194" s="30" t="str">
        <x:v>Operating</x:v>
      </x:c>
      <x:c r="L194" s="22" t="str">
        <x:v>Pending source matching</x:v>
      </x:c>
      <x:c r="M194" s="30" t="str">
        <x:v>None</x:v>
      </x:c>
      <x:c r="N194" s="47" t="str">
        <x:v>July2025.xlsx</x:v>
      </x:c>
    </x:row>
    <x:row r="195">
      <x:c r="A195" s="46" t="n">
        <x:v>45849</x:v>
      </x:c>
      <x:c r="B195" s="30" t="str">
        <x:v>Jul-25</x:v>
      </x:c>
      <x:c r="C195" s="30" t="str">
        <x:v>Debit</x:v>
      </x:c>
      <x:c r="D195" s="19" t="str">
        <x:v>7534159383132/SBIEPYHIGHTENSIONHTP</x:v>
      </x:c>
      <x:c r="E195" s="30" t="str">
        <x:v>0000251938916564</x:v>
      </x:c>
      <x:c r="F195" s="30" t="str">
        <x:v>12/07/25</x:v>
      </x:c>
      <x:c r="G195" s="42" t="n">
        <x:v>19230</x:v>
      </x:c>
      <x:c r="H195" s="42"/>
      <x:c r="I195" s="42" t="n">
        <x:v>258315.86</x:v>
      </x:c>
      <x:c r="J195" s="30" t="str">
        <x:v>Possible vendor / operating payment</x:v>
      </x:c>
      <x:c r="K195" s="30" t="str">
        <x:v>Operating</x:v>
      </x:c>
      <x:c r="L195" s="22" t="str">
        <x:v>Pending source matching</x:v>
      </x:c>
      <x:c r="M195" s="30" t="str">
        <x:v>None</x:v>
      </x:c>
      <x:c r="N195" s="47" t="str">
        <x:v>July2025.xlsx</x:v>
      </x:c>
    </x:row>
    <x:row r="196">
      <x:c r="A196" s="46" t="n">
        <x:v>45849</x:v>
      </x:c>
      <x:c r="B196" s="30" t="str">
        <x:v>Jul-25</x:v>
      </x:c>
      <x:c r="C196" s="30" t="str">
        <x:v>Debit</x:v>
      </x:c>
      <x:c r="D196" s="19" t="str">
        <x:v>2313980279816/SBIEPYHIGHTENSIONHTP</x:v>
      </x:c>
      <x:c r="E196" s="30" t="str">
        <x:v>0000251938918835</x:v>
      </x:c>
      <x:c r="F196" s="30" t="str">
        <x:v>12/07/25</x:v>
      </x:c>
      <x:c r="G196" s="42" t="n">
        <x:v>4230</x:v>
      </x:c>
      <x:c r="H196" s="42"/>
      <x:c r="I196" s="42" t="n">
        <x:v>254085.86</x:v>
      </x:c>
      <x:c r="J196" s="30" t="str">
        <x:v>Possible vendor / operating payment</x:v>
      </x:c>
      <x:c r="K196" s="30" t="str">
        <x:v>Operating</x:v>
      </x:c>
      <x:c r="L196" s="22" t="str">
        <x:v>Pending source matching</x:v>
      </x:c>
      <x:c r="M196" s="30" t="str">
        <x:v>None</x:v>
      </x:c>
      <x:c r="N196" s="47" t="str">
        <x:v>July2025.xlsx</x:v>
      </x:c>
    </x:row>
    <x:row r="197">
      <x:c r="A197" s="46" t="n">
        <x:v>45849</x:v>
      </x:c>
      <x:c r="B197" s="30" t="str">
        <x:v>Jul-25</x:v>
      </x:c>
      <x:c r="C197" s="30" t="str">
        <x:v>Debit</x:v>
      </x:c>
      <x:c r="D197" s="19" t="str">
        <x:v>9917096717328/SBIEPYHIGHTENSIONHTP</x:v>
      </x:c>
      <x:c r="E197" s="30" t="str">
        <x:v>0000251938919944</x:v>
      </x:c>
      <x:c r="F197" s="30" t="str">
        <x:v>12/07/25</x:v>
      </x:c>
      <x:c r="G197" s="42" t="n">
        <x:v>5410</x:v>
      </x:c>
      <x:c r="H197" s="42"/>
      <x:c r="I197" s="42" t="n">
        <x:v>248675.86</x:v>
      </x:c>
      <x:c r="J197" s="30" t="str">
        <x:v>Possible vendor / operating payment</x:v>
      </x:c>
      <x:c r="K197" s="30" t="str">
        <x:v>Operating</x:v>
      </x:c>
      <x:c r="L197" s="22" t="str">
        <x:v>Pending source matching</x:v>
      </x:c>
      <x:c r="M197" s="30" t="str">
        <x:v>None</x:v>
      </x:c>
      <x:c r="N197" s="47" t="str">
        <x:v>July2025.xlsx</x:v>
      </x:c>
    </x:row>
    <x:row r="198">
      <x:c r="A198" s="46" t="n">
        <x:v>45849</x:v>
      </x:c>
      <x:c r="B198" s="30" t="str">
        <x:v>Jul-25</x:v>
      </x:c>
      <x:c r="C198" s="30" t="str">
        <x:v>Debit</x:v>
      </x:c>
      <x:c r="D198" s="19" t="str">
        <x:v>8024791390930/SBIEPYHIGHTENSIONHTP</x:v>
      </x:c>
      <x:c r="E198" s="30" t="str">
        <x:v>0000251938921434</x:v>
      </x:c>
      <x:c r="F198" s="30" t="str">
        <x:v>12/07/25</x:v>
      </x:c>
      <x:c r="G198" s="42" t="n">
        <x:v>41400</x:v>
      </x:c>
      <x:c r="H198" s="42"/>
      <x:c r="I198" s="42" t="n">
        <x:v>207275.86</x:v>
      </x:c>
      <x:c r="J198" s="30" t="str">
        <x:v>Possible vendor / operating payment</x:v>
      </x:c>
      <x:c r="K198" s="30" t="str">
        <x:v>Operating</x:v>
      </x:c>
      <x:c r="L198" s="22" t="str">
        <x:v>Pending source matching</x:v>
      </x:c>
      <x:c r="M198" s="30" t="str">
        <x:v>None</x:v>
      </x:c>
      <x:c r="N198" s="47" t="str">
        <x:v>July2025.xlsx</x:v>
      </x:c>
    </x:row>
    <x:row r="199">
      <x:c r="A199" s="46" t="n">
        <x:v>45849</x:v>
      </x:c>
      <x:c r="B199" s="30" t="str">
        <x:v>Jul-25</x:v>
      </x:c>
      <x:c r="C199" s="30" t="str">
        <x:v>Debit</x:v>
      </x:c>
      <x:c r="D199" s="19" t="str">
        <x:v>6619422276630/SBIEPYHIGHTENSIONHTP</x:v>
      </x:c>
      <x:c r="E199" s="30" t="str">
        <x:v>0000251938923318</x:v>
      </x:c>
      <x:c r="F199" s="30" t="str">
        <x:v>12/07/25</x:v>
      </x:c>
      <x:c r="G199" s="42" t="n">
        <x:v>5070</x:v>
      </x:c>
      <x:c r="H199" s="42"/>
      <x:c r="I199" s="42" t="n">
        <x:v>202205.86</x:v>
      </x:c>
      <x:c r="J199" s="30" t="str">
        <x:v>Possible vendor / operating payment</x:v>
      </x:c>
      <x:c r="K199" s="30" t="str">
        <x:v>Operating</x:v>
      </x:c>
      <x:c r="L199" s="22" t="str">
        <x:v>Pending source matching</x:v>
      </x:c>
      <x:c r="M199" s="30" t="str">
        <x:v>None</x:v>
      </x:c>
      <x:c r="N199" s="47" t="str">
        <x:v>July2025.xlsx</x:v>
      </x:c>
    </x:row>
    <x:row r="200">
      <x:c r="A200" s="46" t="n">
        <x:v>45849</x:v>
      </x:c>
      <x:c r="B200" s="30" t="str">
        <x:v>Jul-25</x:v>
      </x:c>
      <x:c r="C200" s="30" t="str">
        <x:v>Debit</x:v>
      </x:c>
      <x:c r="D200" s="19" t="str">
        <x:v>0502461679330/SBIEPYHIGHTENSIONHTP</x:v>
      </x:c>
      <x:c r="E200" s="30" t="str">
        <x:v>0000251938924348</x:v>
      </x:c>
      <x:c r="F200" s="30" t="str">
        <x:v>12/07/25</x:v>
      </x:c>
      <x:c r="G200" s="42" t="n">
        <x:v>2040</x:v>
      </x:c>
      <x:c r="H200" s="42"/>
      <x:c r="I200" s="42" t="n">
        <x:v>200165.86</x:v>
      </x:c>
      <x:c r="J200" s="30" t="str">
        <x:v>Possible vendor / operating payment</x:v>
      </x:c>
      <x:c r="K200" s="30" t="str">
        <x:v>Operating</x:v>
      </x:c>
      <x:c r="L200" s="22" t="str">
        <x:v>Pending source matching</x:v>
      </x:c>
      <x:c r="M200" s="30" t="str">
        <x:v>None</x:v>
      </x:c>
      <x:c r="N200" s="47" t="str">
        <x:v>July2025.xlsx</x:v>
      </x:c>
    </x:row>
    <x:row r="201">
      <x:c r="A201" s="46" t="n">
        <x:v>45849</x:v>
      </x:c>
      <x:c r="B201" s="30" t="str">
        <x:v>Jul-25</x:v>
      </x:c>
      <x:c r="C201" s="30" t="str">
        <x:v>Debit</x:v>
      </x:c>
      <x:c r="D201" s="19" t="str">
        <x:v>1447636402558/SBIEPYHIGHTENSIONHTP</x:v>
      </x:c>
      <x:c r="E201" s="30" t="str">
        <x:v>0000251938925783</x:v>
      </x:c>
      <x:c r="F201" s="30" t="str">
        <x:v>12/07/25</x:v>
      </x:c>
      <x:c r="G201" s="42" t="n">
        <x:v>37270</x:v>
      </x:c>
      <x:c r="H201" s="42"/>
      <x:c r="I201" s="42" t="n">
        <x:v>162895.86</x:v>
      </x:c>
      <x:c r="J201" s="30" t="str">
        <x:v>Possible vendor / operating payment</x:v>
      </x:c>
      <x:c r="K201" s="30" t="str">
        <x:v>Operating</x:v>
      </x:c>
      <x:c r="L201" s="22" t="str">
        <x:v>Pending source matching</x:v>
      </x:c>
      <x:c r="M201" s="30" t="str">
        <x:v>None</x:v>
      </x:c>
      <x:c r="N201" s="47" t="str">
        <x:v>July2025.xlsx</x:v>
      </x:c>
    </x:row>
    <x:row r="202">
      <x:c r="A202" s="46" t="n">
        <x:v>45849</x:v>
      </x:c>
      <x:c r="B202" s="30" t="str">
        <x:v>Jul-25</x:v>
      </x:c>
      <x:c r="C202" s="30" t="str">
        <x:v>Debit</x:v>
      </x:c>
      <x:c r="D202" s="19" t="str">
        <x:v>5115088176120/SBIEPYHIGHTENSIONHTP</x:v>
      </x:c>
      <x:c r="E202" s="30" t="str">
        <x:v>0000251938928831</x:v>
      </x:c>
      <x:c r="F202" s="30" t="str">
        <x:v>12/07/25</x:v>
      </x:c>
      <x:c r="G202" s="42" t="n">
        <x:v>5080</x:v>
      </x:c>
      <x:c r="H202" s="42"/>
      <x:c r="I202" s="42" t="n">
        <x:v>157815.86</x:v>
      </x:c>
      <x:c r="J202" s="30" t="str">
        <x:v>Possible vendor / operating payment</x:v>
      </x:c>
      <x:c r="K202" s="30" t="str">
        <x:v>Operating</x:v>
      </x:c>
      <x:c r="L202" s="22" t="str">
        <x:v>Pending source matching</x:v>
      </x:c>
      <x:c r="M202" s="30" t="str">
        <x:v>None</x:v>
      </x:c>
      <x:c r="N202" s="47" t="str">
        <x:v>July2025.xlsx</x:v>
      </x:c>
    </x:row>
    <x:row r="203">
      <x:c r="A203" s="46" t="n">
        <x:v>45849</x:v>
      </x:c>
      <x:c r="B203" s="30" t="str">
        <x:v>Jul-25</x:v>
      </x:c>
      <x:c r="C203" s="30" t="str">
        <x:v>Debit</x:v>
      </x:c>
      <x:c r="D203" s="19" t="str">
        <x:v>2510379070028/SBIEPYHIGHTENSIONHTP</x:v>
      </x:c>
      <x:c r="E203" s="30" t="str">
        <x:v>0000251938929558</x:v>
      </x:c>
      <x:c r="F203" s="30" t="str">
        <x:v>12/07/25</x:v>
      </x:c>
      <x:c r="G203" s="42" t="n">
        <x:v>8050</x:v>
      </x:c>
      <x:c r="H203" s="42"/>
      <x:c r="I203" s="42" t="n">
        <x:v>149765.86</x:v>
      </x:c>
      <x:c r="J203" s="30" t="str">
        <x:v>Possible vendor / operating payment</x:v>
      </x:c>
      <x:c r="K203" s="30" t="str">
        <x:v>Operating</x:v>
      </x:c>
      <x:c r="L203" s="22" t="str">
        <x:v>Pending source matching</x:v>
      </x:c>
      <x:c r="M203" s="30" t="str">
        <x:v>None</x:v>
      </x:c>
      <x:c r="N203" s="47" t="str">
        <x:v>July2025.xlsx</x:v>
      </x:c>
    </x:row>
    <x:row r="204">
      <x:c r="A204" s="46" t="n">
        <x:v>45850</x:v>
      </x:c>
      <x:c r="B204" s="30" t="str">
        <x:v>Jul-25</x:v>
      </x:c>
      <x:c r="C204" s="30" t="str">
        <x:v>Credit</x:v>
      </x:c>
      <x:c r="D204" s="19" t="str">
        <x:v>UPI SETTLEMENT -DKB258- 13/07/25</x:v>
      </x:c>
      <x:c r="E204" s="30" t="str">
        <x:v>000000000000000</x:v>
      </x:c>
      <x:c r="F204" s="30" t="str">
        <x:v>13/07/25</x:v>
      </x:c>
      <x:c r="G204" s="42"/>
      <x:c r="H204" s="42" t="n">
        <x:v>2000</x:v>
      </x:c>
      <x:c r="I204" s="42" t="n">
        <x:v>151765.86</x:v>
      </x:c>
      <x:c r="J204" s="30" t="str">
        <x:v>Possible collection</x:v>
      </x:c>
      <x:c r="K204" s="30" t="str">
        <x:v>Operating</x:v>
      </x:c>
      <x:c r="L204" s="22" t="str">
        <x:v>Pending source matching</x:v>
      </x:c>
      <x:c r="M204" s="30" t="str">
        <x:v>None</x:v>
      </x:c>
      <x:c r="N204" s="47" t="str">
        <x:v>July2025.xlsx</x:v>
      </x:c>
    </x:row>
    <x:row r="205">
      <x:c r="A205" s="46" t="n">
        <x:v>45852</x:v>
      </x:c>
      <x:c r="B205" s="30" t="str">
        <x:v>Jul-25</x:v>
      </x:c>
      <x:c r="C205" s="30" t="str">
        <x:v>Credit</x:v>
      </x:c>
      <x:c r="D205" s="19" t="str">
        <x:v>UPI SETTLEMENT -DKB258- 15/07/25</x:v>
      </x:c>
      <x:c r="E205" s="30" t="str">
        <x:v>000000000000000</x:v>
      </x:c>
      <x:c r="F205" s="30" t="str">
        <x:v>15/07/25</x:v>
      </x:c>
      <x:c r="G205" s="42"/>
      <x:c r="H205" s="42" t="n">
        <x:v>8000</x:v>
      </x:c>
      <x:c r="I205" s="42" t="n">
        <x:v>159765.86</x:v>
      </x:c>
      <x:c r="J205" s="30" t="str">
        <x:v>Possible collection</x:v>
      </x:c>
      <x:c r="K205" s="30" t="str">
        <x:v>Operating</x:v>
      </x:c>
      <x:c r="L205" s="22" t="str">
        <x:v>Pending source matching</x:v>
      </x:c>
      <x:c r="M205" s="30" t="str">
        <x:v>None</x:v>
      </x:c>
      <x:c r="N205" s="47" t="str">
        <x:v>July2025.xlsx</x:v>
      </x:c>
    </x:row>
    <x:row r="206">
      <x:c r="A206" s="46" t="n">
        <x:v>45852</x:v>
      </x:c>
      <x:c r="B206" s="30" t="str">
        <x:v>Jul-25</x:v>
      </x:c>
      <x:c r="C206" s="30" t="str">
        <x:v>Debit</x:v>
      </x:c>
      <x:c r="D206" s="19" t="str">
        <x:v>FT - DR - 50100442349011 - JAYASHREE VISHWANATH MANDAVE</x:v>
      </x:c>
      <x:c r="E206" s="30" t="str">
        <x:v>0000000000000792</x:v>
      </x:c>
      <x:c r="F206" s="30" t="str">
        <x:v>15/07/25</x:v>
      </x:c>
      <x:c r="G206" s="42" t="n">
        <x:v>1500</x:v>
      </x:c>
      <x:c r="H206" s="42"/>
      <x:c r="I206" s="42" t="n">
        <x:v>158265.86</x:v>
      </x:c>
      <x:c r="J206" s="30" t="str">
        <x:v>Possible vendor / operating payment</x:v>
      </x:c>
      <x:c r="K206" s="30" t="str">
        <x:v>Operating</x:v>
      </x:c>
      <x:c r="L206" s="22" t="str">
        <x:v>Pending source matching</x:v>
      </x:c>
      <x:c r="M206" s="30" t="str">
        <x:v>None</x:v>
      </x:c>
      <x:c r="N206" s="47" t="str">
        <x:v>July2025.xlsx</x:v>
      </x:c>
    </x:row>
    <x:row r="207">
      <x:c r="A207" s="46" t="n">
        <x:v>45854</x:v>
      </x:c>
      <x:c r="B207" s="30" t="str">
        <x:v>Jul-25</x:v>
      </x:c>
      <x:c r="C207" s="30" t="str">
        <x:v>Debit</x:v>
      </x:c>
      <x:c r="D207" s="19" t="str">
        <x:v>CHQ PAID-MICR CTS-RK-SCHAM ENTERPRISES</x:v>
      </x:c>
      <x:c r="E207" s="30" t="str">
        <x:v>0000000000000779</x:v>
      </x:c>
      <x:c r="F207" s="30" t="str">
        <x:v>17/07/25</x:v>
      </x:c>
      <x:c r="G207" s="42" t="n">
        <x:v>5000</x:v>
      </x:c>
      <x:c r="H207" s="42"/>
      <x:c r="I207" s="42" t="n">
        <x:v>153265.86</x:v>
      </x:c>
      <x:c r="J207" s="30" t="str">
        <x:v>Possible vendor / operating payment</x:v>
      </x:c>
      <x:c r="K207" s="30" t="str">
        <x:v>Operating</x:v>
      </x:c>
      <x:c r="L207" s="22" t="str">
        <x:v>Pending source matching</x:v>
      </x:c>
      <x:c r="M207" s="30" t="str">
        <x:v>None</x:v>
      </x:c>
      <x:c r="N207" s="47" t="str">
        <x:v>July2025.xlsx</x:v>
      </x:c>
    </x:row>
    <x:row r="208">
      <x:c r="A208" s="46" t="n">
        <x:v>45854</x:v>
      </x:c>
      <x:c r="B208" s="30" t="str">
        <x:v>Jul-25</x:v>
      </x:c>
      <x:c r="C208" s="30" t="str">
        <x:v>Debit</x:v>
      </x:c>
      <x:c r="D208" s="19" t="str">
        <x:v>FT - DR - 50200051853908 - ROHAN ENTERPRISES</x:v>
      </x:c>
      <x:c r="E208" s="30" t="str">
        <x:v>0000000000000790</x:v>
      </x:c>
      <x:c r="F208" s="30" t="str">
        <x:v>17/07/25</x:v>
      </x:c>
      <x:c r="G208" s="42" t="n">
        <x:v>6636</x:v>
      </x:c>
      <x:c r="H208" s="42"/>
      <x:c r="I208" s="42" t="n">
        <x:v>146629.86</x:v>
      </x:c>
      <x:c r="J208" s="30" t="str">
        <x:v>Possible vendor / operating payment</x:v>
      </x:c>
      <x:c r="K208" s="30" t="str">
        <x:v>Operating</x:v>
      </x:c>
      <x:c r="L208" s="22" t="str">
        <x:v>Pending source matching</x:v>
      </x:c>
      <x:c r="M208" s="30" t="str">
        <x:v>None</x:v>
      </x:c>
      <x:c r="N208" s="47" t="str">
        <x:v>July2025.xlsx</x:v>
      </x:c>
    </x:row>
    <x:row r="209">
      <x:c r="A209" s="46" t="n">
        <x:v>45855</x:v>
      </x:c>
      <x:c r="B209" s="30" t="str">
        <x:v>Jul-25</x:v>
      </x:c>
      <x:c r="C209" s="30" t="str">
        <x:v>Debit</x:v>
      </x:c>
      <x:c r="D209" s="19" t="str">
        <x:v>FT - DR - 50200043895952 - GHANSHAM HARDWARE AND ELECTRICALS</x:v>
      </x:c>
      <x:c r="E209" s="30" t="str">
        <x:v>0000000000000791</x:v>
      </x:c>
      <x:c r="F209" s="30" t="str">
        <x:v>18/07/25</x:v>
      </x:c>
      <x:c r="G209" s="42" t="n">
        <x:v>1980</x:v>
      </x:c>
      <x:c r="H209" s="42"/>
      <x:c r="I209" s="42" t="n">
        <x:v>144649.86</x:v>
      </x:c>
      <x:c r="J209" s="30" t="str">
        <x:v>Possible vendor / operating payment</x:v>
      </x:c>
      <x:c r="K209" s="30" t="str">
        <x:v>Operating</x:v>
      </x:c>
      <x:c r="L209" s="22" t="str">
        <x:v>Pending source matching</x:v>
      </x:c>
      <x:c r="M209" s="30" t="str">
        <x:v>None</x:v>
      </x:c>
      <x:c r="N209" s="47" t="str">
        <x:v>July2025.xlsx</x:v>
      </x:c>
    </x:row>
    <x:row r="210">
      <x:c r="A210" s="46" t="n">
        <x:v>45856</x:v>
      </x:c>
      <x:c r="B210" s="30" t="str">
        <x:v>Jul-25</x:v>
      </x:c>
      <x:c r="C210" s="30" t="str">
        <x:v>Debit</x:v>
      </x:c>
      <x:c r="D210" s="19" t="str">
        <x:v>CHQ PAID-MICR CTS-MU-SWASTIK GENPOWER PV</x:v>
      </x:c>
      <x:c r="E210" s="30" t="str">
        <x:v>0000000000000765</x:v>
      </x:c>
      <x:c r="F210" s="30" t="str">
        <x:v>19/07/25</x:v>
      </x:c>
      <x:c r="G210" s="42" t="n">
        <x:v>7788</x:v>
      </x:c>
      <x:c r="H210" s="42"/>
      <x:c r="I210" s="42" t="n">
        <x:v>136861.86</x:v>
      </x:c>
      <x:c r="J210" s="30" t="str">
        <x:v>Possible vendor / operating payment</x:v>
      </x:c>
      <x:c r="K210" s="30" t="str">
        <x:v>Operating</x:v>
      </x:c>
      <x:c r="L210" s="22" t="str">
        <x:v>Pending source matching</x:v>
      </x:c>
      <x:c r="M210" s="30" t="str">
        <x:v>None</x:v>
      </x:c>
      <x:c r="N210" s="47" t="str">
        <x:v>July2025.xlsx</x:v>
      </x:c>
    </x:row>
    <x:row r="211">
      <x:c r="A211" s="46" t="n">
        <x:v>45861</x:v>
      </x:c>
      <x:c r="B211" s="30" t="str">
        <x:v>Jul-25</x:v>
      </x:c>
      <x:c r="C211" s="30" t="str">
        <x:v>Debit</x:v>
      </x:c>
      <x:c r="D211" s="19" t="str">
        <x:v>DEEPAK B GAIKWAD - CHQ PAID - PASHAN - PUN</x:v>
      </x:c>
      <x:c r="E211" s="30" t="str">
        <x:v>0000000000000795</x:v>
      </x:c>
      <x:c r="F211" s="30" t="str">
        <x:v>24/07/25</x:v>
      </x:c>
      <x:c r="G211" s="42" t="n">
        <x:v>17285</x:v>
      </x:c>
      <x:c r="H211" s="42"/>
      <x:c r="I211" s="42" t="n">
        <x:v>119576.86</x:v>
      </x:c>
      <x:c r="J211" s="30" t="str">
        <x:v>Possible vendor / operating payment</x:v>
      </x:c>
      <x:c r="K211" s="30" t="str">
        <x:v>Operating</x:v>
      </x:c>
      <x:c r="L211" s="22" t="str">
        <x:v>Pending source matching</x:v>
      </x:c>
      <x:c r="M211" s="30" t="str">
        <x:v>None</x:v>
      </x:c>
      <x:c r="N211" s="47" t="str">
        <x:v>July2025.xlsx</x:v>
      </x:c>
    </x:row>
    <x:row r="212">
      <x:c r="A212" s="46" t="n">
        <x:v>45862</x:v>
      </x:c>
      <x:c r="B212" s="30" t="str">
        <x:v>Jul-25</x:v>
      </x:c>
      <x:c r="C212" s="30" t="str">
        <x:v>Debit</x:v>
      </x:c>
      <x:c r="D212" s="19" t="str">
        <x:v>CBDT/BANK REFERENCE NO:K2520636700352/CIN NO:25072500047329HDFC/ONLINE</x:v>
      </x:c>
      <x:c r="E212" s="30" t="str">
        <x:v>0250725110018170</x:v>
      </x:c>
      <x:c r="F212" s="30" t="str">
        <x:v>25/07/25</x:v>
      </x:c>
      <x:c r="G212" s="42" t="n">
        <x:v>5170</x:v>
      </x:c>
      <x:c r="H212" s="42"/>
      <x:c r="I212" s="42" t="n">
        <x:v>114406.86</x:v>
      </x:c>
      <x:c r="J212" s="30" t="str">
        <x:v>Tax / statutory payment</x:v>
      </x:c>
      <x:c r="K212" s="30" t="str">
        <x:v>Operating</x:v>
      </x:c>
      <x:c r="L212" s="22" t="str">
        <x:v>Pending source matching</x:v>
      </x:c>
      <x:c r="M212" s="30" t="str">
        <x:v>None</x:v>
      </x:c>
      <x:c r="N212" s="47" t="str">
        <x:v>July2025.xlsx</x:v>
      </x:c>
    </x:row>
    <x:row r="213">
      <x:c r="A213" s="46" t="n">
        <x:v>45863</x:v>
      </x:c>
      <x:c r="B213" s="30" t="str">
        <x:v>Jul-25</x:v>
      </x:c>
      <x:c r="C213" s="30" t="str">
        <x:v>Credit</x:v>
      </x:c>
      <x:c r="D213" s="19" t="str">
        <x:v>UPI SETTLEMENT -DKB258- 26/07/25</x:v>
      </x:c>
      <x:c r="E213" s="30" t="str">
        <x:v>000000000000000</x:v>
      </x:c>
      <x:c r="F213" s="30" t="str">
        <x:v>26/07/25</x:v>
      </x:c>
      <x:c r="G213" s="42"/>
      <x:c r="H213" s="42" t="n">
        <x:v>1971.68</x:v>
      </x:c>
      <x:c r="I213" s="42" t="n">
        <x:v>116378.54</x:v>
      </x:c>
      <x:c r="J213" s="30" t="str">
        <x:v>Possible collection</x:v>
      </x:c>
      <x:c r="K213" s="30" t="str">
        <x:v>Operating</x:v>
      </x:c>
      <x:c r="L213" s="22" t="str">
        <x:v>Pending source matching</x:v>
      </x:c>
      <x:c r="M213" s="30" t="str">
        <x:v>None</x:v>
      </x:c>
      <x:c r="N213" s="47" t="str">
        <x:v>July2025.xlsx</x:v>
      </x:c>
    </x:row>
    <x:row r="214">
      <x:c r="A214" s="46" t="n">
        <x:v>45865</x:v>
      </x:c>
      <x:c r="B214" s="30" t="str">
        <x:v>Jul-25</x:v>
      </x:c>
      <x:c r="C214" s="30" t="str">
        <x:v>Debit</x:v>
      </x:c>
      <x:c r="D214" s="19" t="str">
        <x:v>CHQ PAID-MICR CTS-MU-NEW BALAJI HARDWARE</x:v>
      </x:c>
      <x:c r="E214" s="30" t="str">
        <x:v>0000000000000793</x:v>
      </x:c>
      <x:c r="F214" s="30" t="str">
        <x:v>28/07/25</x:v>
      </x:c>
      <x:c r="G214" s="42" t="n">
        <x:v>3130</x:v>
      </x:c>
      <x:c r="H214" s="42"/>
      <x:c r="I214" s="42" t="n">
        <x:v>113248.54</x:v>
      </x:c>
      <x:c r="J214" s="30" t="str">
        <x:v>Possible vendor / operating payment</x:v>
      </x:c>
      <x:c r="K214" s="30" t="str">
        <x:v>Operating</x:v>
      </x:c>
      <x:c r="L214" s="22" t="str">
        <x:v>Pending source matching</x:v>
      </x:c>
      <x:c r="M214" s="30" t="str">
        <x:v>None</x:v>
      </x:c>
      <x:c r="N214" s="47" t="str">
        <x:v>July2025.xlsx</x:v>
      </x:c>
    </x:row>
    <x:row r="215">
      <x:c r="A215" s="46" t="n">
        <x:v>45866</x:v>
      </x:c>
      <x:c r="B215" s="30" t="str">
        <x:v>Jul-25</x:v>
      </x:c>
      <x:c r="C215" s="30" t="str">
        <x:v>Debit</x:v>
      </x:c>
      <x:c r="D215" s="19" t="str">
        <x:v>CHQ PAID-MICR CTS-MU-SAGAR NAUGURE</x:v>
      </x:c>
      <x:c r="E215" s="30" t="str">
        <x:v>0000000000000794</x:v>
      </x:c>
      <x:c r="F215" s="30" t="str">
        <x:v>29/07/25</x:v>
      </x:c>
      <x:c r="G215" s="42" t="n">
        <x:v>9000</x:v>
      </x:c>
      <x:c r="H215" s="42"/>
      <x:c r="I215" s="42" t="n">
        <x:v>104248.54</x:v>
      </x:c>
      <x:c r="J215" s="30" t="str">
        <x:v>Possible vendor / operating payment</x:v>
      </x:c>
      <x:c r="K215" s="30" t="str">
        <x:v>Operating</x:v>
      </x:c>
      <x:c r="L215" s="22" t="str">
        <x:v>Pending source matching</x:v>
      </x:c>
      <x:c r="M215" s="30" t="str">
        <x:v>None</x:v>
      </x:c>
      <x:c r="N215" s="47" t="str">
        <x:v>July2025.xlsx</x:v>
      </x:c>
    </x:row>
    <x:row r="216">
      <x:c r="A216" s="46" t="n">
        <x:v>45868</x:v>
      </x:c>
      <x:c r="B216" s="30" t="str">
        <x:v>Jul-25</x:v>
      </x:c>
      <x:c r="C216" s="30" t="str">
        <x:v>Credit</x:v>
      </x:c>
      <x:c r="D216" s="19" t="str">
        <x:v>INTEREST CREDIT 50301152472182</x:v>
      </x:c>
      <x:c r="E216" s="30" t="str">
        <x:v>3304220250731765</x:v>
      </x:c>
      <x:c r="F216" s="30" t="str">
        <x:v>31/07/25</x:v>
      </x:c>
      <x:c r="G216" s="42"/>
      <x:c r="H216" s="42" t="n">
        <x:v>2244</x:v>
      </x:c>
      <x:c r="I216" s="42" t="n">
        <x:v>106492.54</x:v>
      </x:c>
      <x:c r="J216" s="30" t="str">
        <x:v>Interest income</x:v>
      </x:c>
      <x:c r="K216" s="30" t="str">
        <x:v>Investment</x:v>
      </x:c>
      <x:c r="L216" s="22" t="str">
        <x:v>Pending source matching</x:v>
      </x:c>
      <x:c r="M216" s="30" t="str">
        <x:v>None</x:v>
      </x:c>
      <x:c r="N216" s="47" t="str">
        <x:v>July2025.xlsx</x:v>
      </x:c>
    </x:row>
    <x:row r="217">
      <x:c r="A217" s="46" t="n">
        <x:v>45868</x:v>
      </x:c>
      <x:c r="B217" s="30" t="str">
        <x:v>Jul-25</x:v>
      </x:c>
      <x:c r="C217" s="30" t="str">
        <x:v>Credit</x:v>
      </x:c>
      <x:c r="D217" s="19" t="str">
        <x:v>PRIN AND INT AUTO_REDEEM 50301152472182</x:v>
      </x:c>
      <x:c r="E217" s="30" t="str">
        <x:v>3304220250731804</x:v>
      </x:c>
      <x:c r="F217" s="30" t="str">
        <x:v>31/07/25</x:v>
      </x:c>
      <x:c r="G217" s="42"/>
      <x:c r="H217" s="42" t="n">
        <x:v>200000</x:v>
      </x:c>
      <x:c r="I217" s="42" t="n">
        <x:v>306492.54</x:v>
      </x:c>
      <x:c r="J217" s="30" t="str">
        <x:v>FD maturity / redemption</x:v>
      </x:c>
      <x:c r="K217" s="30" t="str">
        <x:v>Investment</x:v>
      </x:c>
      <x:c r="L217" s="22" t="str">
        <x:v>Pending source matching</x:v>
      </x:c>
      <x:c r="M217" s="30" t="str">
        <x:v>None</x:v>
      </x:c>
      <x:c r="N217" s="47" t="str">
        <x:v>July2025.xlsx</x:v>
      </x:c>
    </x:row>
    <x:row r="218">
      <x:c r="A218" s="46" t="n">
        <x:v>45870</x:v>
      </x:c>
      <x:c r="B218" s="30" t="str">
        <x:v>Aug-25</x:v>
      </x:c>
      <x:c r="C218" s="30" t="str">
        <x:v>Credit</x:v>
      </x:c>
      <x:c r="D218" s="19" t="str">
        <x:v>UPI SETTLEMENT -DKB258- 02/08/25</x:v>
      </x:c>
      <x:c r="E218" s="30" t="str">
        <x:v>000000000000000</x:v>
      </x:c>
      <x:c r="F218" s="30" t="str">
        <x:v>02/08/25</x:v>
      </x:c>
      <x:c r="G218" s="42"/>
      <x:c r="H218" s="42" t="n">
        <x:v>2000</x:v>
      </x:c>
      <x:c r="I218" s="42" t="n">
        <x:v>308492.54</x:v>
      </x:c>
      <x:c r="J218" s="30" t="str">
        <x:v>Possible collection</x:v>
      </x:c>
      <x:c r="K218" s="30" t="str">
        <x:v>Operating</x:v>
      </x:c>
      <x:c r="L218" s="22" t="str">
        <x:v>Pending source matching</x:v>
      </x:c>
      <x:c r="M218" s="30" t="str">
        <x:v>None</x:v>
      </x:c>
      <x:c r="N218" s="47" t="str">
        <x:v>Aug2025.xlsx</x:v>
      </x:c>
    </x:row>
    <x:row r="219">
      <x:c r="A219" s="46" t="n">
        <x:v>45872</x:v>
      </x:c>
      <x:c r="B219" s="30" t="str">
        <x:v>Aug-25</x:v>
      </x:c>
      <x:c r="C219" s="30" t="str">
        <x:v>Debit</x:v>
      </x:c>
      <x:c r="D219" s="19" t="str">
        <x:v>CHQ PAID-MICR CTS-MU-DEEPAK GEWAD</x:v>
      </x:c>
      <x:c r="E219" s="30" t="str">
        <x:v>0000000000000796</x:v>
      </x:c>
      <x:c r="F219" s="30" t="str">
        <x:v>04/08/25</x:v>
      </x:c>
      <x:c r="G219" s="42" t="n">
        <x:v>24500</x:v>
      </x:c>
      <x:c r="H219" s="42"/>
      <x:c r="I219" s="42" t="n">
        <x:v>283992.54</x:v>
      </x:c>
      <x:c r="J219" s="30" t="str">
        <x:v>Possible vendor / operating payment</x:v>
      </x:c>
      <x:c r="K219" s="30" t="str">
        <x:v>Operating</x:v>
      </x:c>
      <x:c r="L219" s="22" t="str">
        <x:v>Pending source matching</x:v>
      </x:c>
      <x:c r="M219" s="30" t="str">
        <x:v>None</x:v>
      </x:c>
      <x:c r="N219" s="47" t="str">
        <x:v>Aug2025.xlsx</x:v>
      </x:c>
    </x:row>
    <x:row r="220">
      <x:c r="A220" s="46" t="n">
        <x:v>45872</x:v>
      </x:c>
      <x:c r="B220" s="30" t="str">
        <x:v>Aug-25</x:v>
      </x:c>
      <x:c r="C220" s="30" t="str">
        <x:v>Credit</x:v>
      </x:c>
      <x:c r="D220" s="19" t="str">
        <x:v>CASH DEPOSIT BY - DEEPAK GAIKWAD - PASHAN - PUNE</x:v>
      </x:c>
      <x:c r="E220" s="30" t="str">
        <x:v>000000000000000</x:v>
      </x:c>
      <x:c r="F220" s="30" t="str">
        <x:v>04/08/25</x:v>
      </x:c>
      <x:c r="G220" s="42"/>
      <x:c r="H220" s="42" t="n">
        <x:v>101658</x:v>
      </x:c>
      <x:c r="I220" s="42" t="n">
        <x:v>385650.54</x:v>
      </x:c>
      <x:c r="J220" s="30" t="str">
        <x:v>Possible collection</x:v>
      </x:c>
      <x:c r="K220" s="30" t="str">
        <x:v>Operating</x:v>
      </x:c>
      <x:c r="L220" s="22" t="str">
        <x:v>Pending source matching</x:v>
      </x:c>
      <x:c r="M220" s="30" t="str">
        <x:v>None</x:v>
      </x:c>
      <x:c r="N220" s="47" t="str">
        <x:v>Aug2025.xlsx</x:v>
      </x:c>
    </x:row>
    <x:row r="221">
      <x:c r="A221" s="46" t="n">
        <x:v>45873</x:v>
      </x:c>
      <x:c r="B221" s="30" t="str">
        <x:v>Aug-25</x:v>
      </x:c>
      <x:c r="C221" s="30" t="str">
        <x:v>Debit</x:v>
      </x:c>
      <x:c r="D221" s="19" t="str">
        <x:v>CHQ PAID-MICR CTS-MU-NETWORK SECVICES</x:v>
      </x:c>
      <x:c r="E221" s="30" t="str">
        <x:v>0000000000000800</x:v>
      </x:c>
      <x:c r="F221" s="30" t="str">
        <x:v>05/08/25</x:v>
      </x:c>
      <x:c r="G221" s="42" t="n">
        <x:v>53460</x:v>
      </x:c>
      <x:c r="H221" s="42"/>
      <x:c r="I221" s="42" t="n">
        <x:v>332190.54</x:v>
      </x:c>
      <x:c r="J221" s="30" t="str">
        <x:v>Possible vendor / operating payment</x:v>
      </x:c>
      <x:c r="K221" s="30" t="str">
        <x:v>Operating</x:v>
      </x:c>
      <x:c r="L221" s="22" t="str">
        <x:v>Pending source matching</x:v>
      </x:c>
      <x:c r="M221" s="30" t="str">
        <x:v>None</x:v>
      </x:c>
      <x:c r="N221" s="47" t="str">
        <x:v>Aug2025.xlsx</x:v>
      </x:c>
    </x:row>
    <x:row r="222">
      <x:c r="A222" s="46" t="n">
        <x:v>45873</x:v>
      </x:c>
      <x:c r="B222" s="30" t="str">
        <x:v>Aug-25</x:v>
      </x:c>
      <x:c r="C222" s="30" t="str">
        <x:v>Credit</x:v>
      </x:c>
      <x:c r="D222" s="19" t="str">
        <x:v>CHQ DEP MICR8 CLG MODEL COLONY - MICR 8: MONT VERT BIARRITZ CO OP HSG SOC LTD :SARASWAT COOPERATIVE BANK LTD</x:v>
      </x:c>
      <x:c r="E222" s="30" t="str">
        <x:v>0000000000037078</x:v>
      </x:c>
      <x:c r="F222" s="30" t="str">
        <x:v>06/08/25</x:v>
      </x:c>
      <x:c r="G222" s="42"/>
      <x:c r="H222" s="42" t="n">
        <x:v>300000</x:v>
      </x:c>
      <x:c r="I222" s="42" t="n">
        <x:v>632190.54</x:v>
      </x:c>
      <x:c r="J222" s="30" t="str">
        <x:v>Other bank credit</x:v>
      </x:c>
      <x:c r="K222" s="30" t="str">
        <x:v>Other</x:v>
      </x:c>
      <x:c r="L222" s="22" t="str">
        <x:v>Pending source matching</x:v>
      </x:c>
      <x:c r="M222" s="30" t="str">
        <x:v>None</x:v>
      </x:c>
      <x:c r="N222" s="47" t="str">
        <x:v>Aug2025.xlsx</x:v>
      </x:c>
    </x:row>
    <x:row r="223">
      <x:c r="A223" s="46" t="n">
        <x:v>45874</x:v>
      </x:c>
      <x:c r="B223" s="30" t="str">
        <x:v>Aug-25</x:v>
      </x:c>
      <x:c r="C223" s="30" t="str">
        <x:v>Credit</x:v>
      </x:c>
      <x:c r="D223" s="19" t="str">
        <x:v>UPI SETTLEMENT -DKB258- 06/08/25</x:v>
      </x:c>
      <x:c r="E223" s="30" t="str">
        <x:v>000000000000000</x:v>
      </x:c>
      <x:c r="F223" s="30" t="str">
        <x:v>06/08/25</x:v>
      </x:c>
      <x:c r="G223" s="42"/>
      <x:c r="H223" s="42" t="n">
        <x:v>25600</x:v>
      </x:c>
      <x:c r="I223" s="42" t="n">
        <x:v>657790.54</x:v>
      </x:c>
      <x:c r="J223" s="30" t="str">
        <x:v>Possible collection</x:v>
      </x:c>
      <x:c r="K223" s="30" t="str">
        <x:v>Operating</x:v>
      </x:c>
      <x:c r="L223" s="22" t="str">
        <x:v>Pending source matching</x:v>
      </x:c>
      <x:c r="M223" s="30" t="str">
        <x:v>None</x:v>
      </x:c>
      <x:c r="N223" s="47" t="str">
        <x:v>Aug2025.xlsx</x:v>
      </x:c>
    </x:row>
    <x:row r="224">
      <x:c r="A224" s="46" t="n">
        <x:v>45874</x:v>
      </x:c>
      <x:c r="B224" s="30" t="str">
        <x:v>Aug-25</x:v>
      </x:c>
      <x:c r="C224" s="30" t="str">
        <x:v>Debit</x:v>
      </x:c>
      <x:c r="D224" s="19" t="str">
        <x:v>BHAGWAT G FASAGE - CHQ PAID - PASHAN - PUN</x:v>
      </x:c>
      <x:c r="E224" s="30" t="str">
        <x:v>0000000000000801</x:v>
      </x:c>
      <x:c r="F224" s="30" t="str">
        <x:v>06/08/25</x:v>
      </x:c>
      <x:c r="G224" s="42" t="n">
        <x:v>4500</x:v>
      </x:c>
      <x:c r="H224" s="42"/>
      <x:c r="I224" s="42" t="n">
        <x:v>653290.54</x:v>
      </x:c>
      <x:c r="J224" s="30" t="str">
        <x:v>Possible vendor / operating payment</x:v>
      </x:c>
      <x:c r="K224" s="30" t="str">
        <x:v>Operating</x:v>
      </x:c>
      <x:c r="L224" s="22" t="str">
        <x:v>Pending source matching</x:v>
      </x:c>
      <x:c r="M224" s="30" t="str">
        <x:v>None</x:v>
      </x:c>
      <x:c r="N224" s="47" t="str">
        <x:v>Aug2025.xlsx</x:v>
      </x:c>
    </x:row>
    <x:row r="225">
      <x:c r="A225" s="46" t="n">
        <x:v>45874</x:v>
      </x:c>
      <x:c r="B225" s="30" t="str">
        <x:v>Aug-25</x:v>
      </x:c>
      <x:c r="C225" s="30" t="str">
        <x:v>Debit</x:v>
      </x:c>
      <x:c r="D225" s="19" t="str">
        <x:v>VYANKATI M KORDE - CHQ PAID - PASHAN - PUN</x:v>
      </x:c>
      <x:c r="E225" s="30" t="str">
        <x:v>0000000000000802</x:v>
      </x:c>
      <x:c r="F225" s="30" t="str">
        <x:v>06/08/25</x:v>
      </x:c>
      <x:c r="G225" s="42" t="n">
        <x:v>14650</x:v>
      </x:c>
      <x:c r="H225" s="42"/>
      <x:c r="I225" s="42" t="n">
        <x:v>638640.54</x:v>
      </x:c>
      <x:c r="J225" s="30" t="str">
        <x:v>Possible vendor / operating payment</x:v>
      </x:c>
      <x:c r="K225" s="30" t="str">
        <x:v>Operating</x:v>
      </x:c>
      <x:c r="L225" s="22" t="str">
        <x:v>Pending source matching</x:v>
      </x:c>
      <x:c r="M225" s="30" t="str">
        <x:v>None</x:v>
      </x:c>
      <x:c r="N225" s="47" t="str">
        <x:v>Aug2025.xlsx</x:v>
      </x:c>
    </x:row>
    <x:row r="226">
      <x:c r="A226" s="46" t="n">
        <x:v>45875</x:v>
      </x:c>
      <x:c r="B226" s="30" t="str">
        <x:v>Aug-25</x:v>
      </x:c>
      <x:c r="C226" s="30" t="str">
        <x:v>Debit</x:v>
      </x:c>
      <x:c r="D226" s="19" t="str">
        <x:v>CHQ PAID-MICR CTS-MU-MAHENDRA D WAGHMAEE</x:v>
      </x:c>
      <x:c r="E226" s="30" t="str">
        <x:v>0000000000000797</x:v>
      </x:c>
      <x:c r="F226" s="30" t="str">
        <x:v>07/08/25</x:v>
      </x:c>
      <x:c r="G226" s="42" t="n">
        <x:v>5000</x:v>
      </x:c>
      <x:c r="H226" s="42"/>
      <x:c r="I226" s="42" t="n">
        <x:v>633640.54</x:v>
      </x:c>
      <x:c r="J226" s="30" t="str">
        <x:v>Possible vendor / operating payment</x:v>
      </x:c>
      <x:c r="K226" s="30" t="str">
        <x:v>Operating</x:v>
      </x:c>
      <x:c r="L226" s="22" t="str">
        <x:v>Pending source matching</x:v>
      </x:c>
      <x:c r="M226" s="30" t="str">
        <x:v>None</x:v>
      </x:c>
      <x:c r="N226" s="47" t="str">
        <x:v>Aug2025.xlsx</x:v>
      </x:c>
    </x:row>
    <x:row r="227">
      <x:c r="A227" s="46" t="n">
        <x:v>45876</x:v>
      </x:c>
      <x:c r="B227" s="30" t="str">
        <x:v>Aug-25</x:v>
      </x:c>
      <x:c r="C227" s="30" t="str">
        <x:v>Debit</x:v>
      </x:c>
      <x:c r="D227" s="19" t="str">
        <x:v>CHQ PAID-MICR CTS-MU-SOHAM ENTERPRISES</x:v>
      </x:c>
      <x:c r="E227" s="30" t="str">
        <x:v>0000000000000798</x:v>
      </x:c>
      <x:c r="F227" s="30" t="str">
        <x:v>08/08/25</x:v>
      </x:c>
      <x:c r="G227" s="42" t="n">
        <x:v>5000</x:v>
      </x:c>
      <x:c r="H227" s="42"/>
      <x:c r="I227" s="42" t="n">
        <x:v>628640.54</x:v>
      </x:c>
      <x:c r="J227" s="30" t="str">
        <x:v>Possible vendor / operating payment</x:v>
      </x:c>
      <x:c r="K227" s="30" t="str">
        <x:v>Operating</x:v>
      </x:c>
      <x:c r="L227" s="22" t="str">
        <x:v>Pending source matching</x:v>
      </x:c>
      <x:c r="M227" s="30" t="str">
        <x:v>None</x:v>
      </x:c>
      <x:c r="N227" s="47" t="str">
        <x:v>Aug2025.xlsx</x:v>
      </x:c>
    </x:row>
    <x:row r="228">
      <x:c r="A228" s="46" t="n">
        <x:v>45879</x:v>
      </x:c>
      <x:c r="B228" s="30" t="str">
        <x:v>Aug-25</x:v>
      </x:c>
      <x:c r="C228" s="30" t="str">
        <x:v>Debit</x:v>
      </x:c>
      <x:c r="D228" s="19" t="str">
        <x:v>CHQ PAID-MICR CTS-MU-VEDANT EQUIP SALES</x:v>
      </x:c>
      <x:c r="E228" s="30" t="str">
        <x:v>0000000000000803</x:v>
      </x:c>
      <x:c r="F228" s="30" t="str">
        <x:v>11/08/25</x:v>
      </x:c>
      <x:c r="G228" s="42" t="n">
        <x:v>65976</x:v>
      </x:c>
      <x:c r="H228" s="42"/>
      <x:c r="I228" s="42" t="n">
        <x:v>562664.54</x:v>
      </x:c>
      <x:c r="J228" s="30" t="str">
        <x:v>Possible vendor / operating payment</x:v>
      </x:c>
      <x:c r="K228" s="30" t="str">
        <x:v>Operating</x:v>
      </x:c>
      <x:c r="L228" s="22" t="str">
        <x:v>Pending source matching</x:v>
      </x:c>
      <x:c r="M228" s="30" t="str">
        <x:v>None</x:v>
      </x:c>
      <x:c r="N228" s="47" t="str">
        <x:v>Aug2025.xlsx</x:v>
      </x:c>
    </x:row>
    <x:row r="229">
      <x:c r="A229" s="46" t="n">
        <x:v>45879</x:v>
      </x:c>
      <x:c r="B229" s="30" t="str">
        <x:v>Aug-25</x:v>
      </x:c>
      <x:c r="C229" s="30" t="str">
        <x:v>Debit</x:v>
      </x:c>
      <x:c r="D229" s="19" t="str">
        <x:v>CHQ PAID-MICR CTS-MU-SHAURYA GROUP</x:v>
      </x:c>
      <x:c r="E229" s="30" t="str">
        <x:v>0000000000000804</x:v>
      </x:c>
      <x:c r="F229" s="30" t="str">
        <x:v>11/08/25</x:v>
      </x:c>
      <x:c r="G229" s="42" t="n">
        <x:v>159294</x:v>
      </x:c>
      <x:c r="H229" s="42"/>
      <x:c r="I229" s="42" t="n">
        <x:v>403370.54</x:v>
      </x:c>
      <x:c r="J229" s="30" t="str">
        <x:v>Possible vendor / operating payment</x:v>
      </x:c>
      <x:c r="K229" s="30" t="str">
        <x:v>Operating</x:v>
      </x:c>
      <x:c r="L229" s="22" t="str">
        <x:v>Pending source matching</x:v>
      </x:c>
      <x:c r="M229" s="30" t="str">
        <x:v>None</x:v>
      </x:c>
      <x:c r="N229" s="47" t="str">
        <x:v>Aug2025.xlsx</x:v>
      </x:c>
    </x:row>
    <x:row r="230">
      <x:c r="A230" s="46" t="n">
        <x:v>45879</x:v>
      </x:c>
      <x:c r="B230" s="30" t="str">
        <x:v>Aug-25</x:v>
      </x:c>
      <x:c r="C230" s="30" t="str">
        <x:v>Debit</x:v>
      </x:c>
      <x:c r="D230" s="19" t="str">
        <x:v>FONI BARDHAN - CHQ PAID - PASHAN - PUN</x:v>
      </x:c>
      <x:c r="E230" s="30" t="str">
        <x:v>0000000000000805</x:v>
      </x:c>
      <x:c r="F230" s="30" t="str">
        <x:v>11/08/25</x:v>
      </x:c>
      <x:c r="G230" s="42" t="n">
        <x:v>4500</x:v>
      </x:c>
      <x:c r="H230" s="42"/>
      <x:c r="I230" s="42" t="n">
        <x:v>398870.54</x:v>
      </x:c>
      <x:c r="J230" s="30" t="str">
        <x:v>Possible vendor / operating payment</x:v>
      </x:c>
      <x:c r="K230" s="30" t="str">
        <x:v>Operating</x:v>
      </x:c>
      <x:c r="L230" s="22" t="str">
        <x:v>Pending source matching</x:v>
      </x:c>
      <x:c r="M230" s="30" t="str">
        <x:v>None</x:v>
      </x:c>
      <x:c r="N230" s="47" t="str">
        <x:v>Aug2025.xlsx</x:v>
      </x:c>
    </x:row>
    <x:row r="231">
      <x:c r="A231" s="46" t="n">
        <x:v>45879</x:v>
      </x:c>
      <x:c r="B231" s="30" t="str">
        <x:v>Aug-25</x:v>
      </x:c>
      <x:c r="C231" s="30" t="str">
        <x:v>Credit</x:v>
      </x:c>
      <x:c r="D231" s="19" t="str">
        <x:v>I/W CHQ RET-AMOUNTS IN WORDS AND FIGURES</x:v>
      </x:c>
      <x:c r="E231" s="30" t="str">
        <x:v>0000000000000804</x:v>
      </x:c>
      <x:c r="F231" s="30" t="str">
        <x:v>11/08/25</x:v>
      </x:c>
      <x:c r="G231" s="42"/>
      <x:c r="H231" s="42" t="n">
        <x:v>159294</x:v>
      </x:c>
      <x:c r="I231" s="42" t="n">
        <x:v>558164.54</x:v>
      </x:c>
      <x:c r="J231" s="30" t="str">
        <x:v>Other bank credit</x:v>
      </x:c>
      <x:c r="K231" s="30" t="str">
        <x:v>Other</x:v>
      </x:c>
      <x:c r="L231" s="22" t="str">
        <x:v>Pending source matching</x:v>
      </x:c>
      <x:c r="M231" s="30" t="str">
        <x:v>None</x:v>
      </x:c>
      <x:c r="N231" s="47" t="str">
        <x:v>Aug2025.xlsx</x:v>
      </x:c>
    </x:row>
    <x:row r="232">
      <x:c r="A232" s="46" t="n">
        <x:v>45880</x:v>
      </x:c>
      <x:c r="B232" s="30" t="str">
        <x:v>Aug-25</x:v>
      </x:c>
      <x:c r="C232" s="30" t="str">
        <x:v>Credit</x:v>
      </x:c>
      <x:c r="D232" s="19" t="str">
        <x:v>UPI SETTLEMENT -DKB258- 12/08/25</x:v>
      </x:c>
      <x:c r="E232" s="30" t="str">
        <x:v>000000000000000</x:v>
      </x:c>
      <x:c r="F232" s="30" t="str">
        <x:v>12/08/25</x:v>
      </x:c>
      <x:c r="G232" s="42"/>
      <x:c r="H232" s="42" t="n">
        <x:v>8000</x:v>
      </x:c>
      <x:c r="I232" s="42" t="n">
        <x:v>566164.54</x:v>
      </x:c>
      <x:c r="J232" s="30" t="str">
        <x:v>Possible collection</x:v>
      </x:c>
      <x:c r="K232" s="30" t="str">
        <x:v>Operating</x:v>
      </x:c>
      <x:c r="L232" s="22" t="str">
        <x:v>Pending source matching</x:v>
      </x:c>
      <x:c r="M232" s="30" t="str">
        <x:v>None</x:v>
      </x:c>
      <x:c r="N232" s="47" t="str">
        <x:v>Aug2025.xlsx</x:v>
      </x:c>
    </x:row>
    <x:row r="233">
      <x:c r="A233" s="46" t="n">
        <x:v>45882</x:v>
      </x:c>
      <x:c r="B233" s="30" t="str">
        <x:v>Aug-25</x:v>
      </x:c>
      <x:c r="C233" s="30" t="str">
        <x:v>Debit</x:v>
      </x:c>
      <x:c r="D233" s="19" t="str">
        <x:v>CHQ PAID-MICR CTS-MU-SHAURYA GROUP</x:v>
      </x:c>
      <x:c r="E233" s="30" t="str">
        <x:v>0000000000000809</x:v>
      </x:c>
      <x:c r="F233" s="30" t="str">
        <x:v>14/08/25</x:v>
      </x:c>
      <x:c r="G233" s="42" t="n">
        <x:v>159294</x:v>
      </x:c>
      <x:c r="H233" s="42"/>
      <x:c r="I233" s="42" t="n">
        <x:v>406870.54</x:v>
      </x:c>
      <x:c r="J233" s="30" t="str">
        <x:v>Possible vendor / operating payment</x:v>
      </x:c>
      <x:c r="K233" s="30" t="str">
        <x:v>Operating</x:v>
      </x:c>
      <x:c r="L233" s="22" t="str">
        <x:v>Pending source matching</x:v>
      </x:c>
      <x:c r="M233" s="30" t="str">
        <x:v>None</x:v>
      </x:c>
      <x:c r="N233" s="47" t="str">
        <x:v>Aug2025.xlsx</x:v>
      </x:c>
    </x:row>
    <x:row r="234">
      <x:c r="A234" s="46" t="n">
        <x:v>45890</x:v>
      </x:c>
      <x:c r="B234" s="30" t="str">
        <x:v>Aug-25</x:v>
      </x:c>
      <x:c r="C234" s="30" t="str">
        <x:v>Debit</x:v>
      </x:c>
      <x:c r="D234" s="19" t="str">
        <x:v>CHQ PAID-MICR CTS-MU-GANESH PUMPS AND AU</x:v>
      </x:c>
      <x:c r="E234" s="30" t="str">
        <x:v>0000000000000807</x:v>
      </x:c>
      <x:c r="F234" s="30" t="str">
        <x:v>22/08/25</x:v>
      </x:c>
      <x:c r="G234" s="42" t="n">
        <x:v>20170</x:v>
      </x:c>
      <x:c r="H234" s="42"/>
      <x:c r="I234" s="42" t="n">
        <x:v>386700.54</x:v>
      </x:c>
      <x:c r="J234" s="30" t="str">
        <x:v>Possible vendor / operating payment</x:v>
      </x:c>
      <x:c r="K234" s="30" t="str">
        <x:v>Operating</x:v>
      </x:c>
      <x:c r="L234" s="22" t="str">
        <x:v>Pending source matching</x:v>
      </x:c>
      <x:c r="M234" s="30" t="str">
        <x:v>None</x:v>
      </x:c>
      <x:c r="N234" s="47" t="str">
        <x:v>Aug2025.xlsx</x:v>
      </x:c>
    </x:row>
    <x:row r="235">
      <x:c r="A235" s="46" t="n">
        <x:v>45893</x:v>
      </x:c>
      <x:c r="B235" s="30" t="str">
        <x:v>Aug-25</x:v>
      </x:c>
      <x:c r="C235" s="30" t="str">
        <x:v>Debit</x:v>
      </x:c>
      <x:c r="D235" s="19" t="str">
        <x:v>CHQ PAID-MICR CTS-MU-MUSKAN SALES</x:v>
      </x:c>
      <x:c r="E235" s="30" t="str">
        <x:v>0000000000000808</x:v>
      </x:c>
      <x:c r="F235" s="30" t="str">
        <x:v>25/08/25</x:v>
      </x:c>
      <x:c r="G235" s="42" t="n">
        <x:v>41250</x:v>
      </x:c>
      <x:c r="H235" s="42"/>
      <x:c r="I235" s="42" t="n">
        <x:v>345450.54</x:v>
      </x:c>
      <x:c r="J235" s="30" t="str">
        <x:v>Possible vendor / operating payment</x:v>
      </x:c>
      <x:c r="K235" s="30" t="str">
        <x:v>Operating</x:v>
      </x:c>
      <x:c r="L235" s="22" t="str">
        <x:v>Pending source matching</x:v>
      </x:c>
      <x:c r="M235" s="30" t="str">
        <x:v>None</x:v>
      </x:c>
      <x:c r="N235" s="47" t="str">
        <x:v>Aug2025.xlsx</x:v>
      </x:c>
    </x:row>
    <x:row r="236">
      <x:c r="A236" s="46" t="n">
        <x:v>45896</x:v>
      </x:c>
      <x:c r="B236" s="30" t="str">
        <x:v>Aug-25</x:v>
      </x:c>
      <x:c r="C236" s="30" t="str">
        <x:v>Debit</x:v>
      </x:c>
      <x:c r="D236" s="19" t="str">
        <x:v>8998319808045/SBIEPYHIGHTENSIONHTP</x:v>
      </x:c>
      <x:c r="E236" s="30" t="str">
        <x:v>0000252404195205</x:v>
      </x:c>
      <x:c r="F236" s="30" t="str">
        <x:v>28/08/25</x:v>
      </x:c>
      <x:c r="G236" s="42" t="n">
        <x:v>1730</x:v>
      </x:c>
      <x:c r="H236" s="42"/>
      <x:c r="I236" s="42" t="n">
        <x:v>343720.54</x:v>
      </x:c>
      <x:c r="J236" s="30" t="str">
        <x:v>Possible vendor / operating payment</x:v>
      </x:c>
      <x:c r="K236" s="30" t="str">
        <x:v>Operating</x:v>
      </x:c>
      <x:c r="L236" s="22" t="str">
        <x:v>Pending source matching</x:v>
      </x:c>
      <x:c r="M236" s="30" t="str">
        <x:v>None</x:v>
      </x:c>
      <x:c r="N236" s="47" t="str">
        <x:v>Aug2025.xlsx</x:v>
      </x:c>
    </x:row>
    <x:row r="237">
      <x:c r="A237" s="46" t="n">
        <x:v>45896</x:v>
      </x:c>
      <x:c r="B237" s="30" t="str">
        <x:v>Aug-25</x:v>
      </x:c>
      <x:c r="C237" s="30" t="str">
        <x:v>Debit</x:v>
      </x:c>
      <x:c r="D237" s="19" t="str">
        <x:v>5578612724755/SBIEPYHIGHTENSIONHTP</x:v>
      </x:c>
      <x:c r="E237" s="30" t="str">
        <x:v>0000252404194759</x:v>
      </x:c>
      <x:c r="F237" s="30" t="str">
        <x:v>28/08/25</x:v>
      </x:c>
      <x:c r="G237" s="42" t="n">
        <x:v>44530</x:v>
      </x:c>
      <x:c r="H237" s="42"/>
      <x:c r="I237" s="42" t="n">
        <x:v>299190.54</x:v>
      </x:c>
      <x:c r="J237" s="30" t="str">
        <x:v>Possible vendor / operating payment</x:v>
      </x:c>
      <x:c r="K237" s="30" t="str">
        <x:v>Operating</x:v>
      </x:c>
      <x:c r="L237" s="22" t="str">
        <x:v>Pending source matching</x:v>
      </x:c>
      <x:c r="M237" s="30" t="str">
        <x:v>None</x:v>
      </x:c>
      <x:c r="N237" s="47" t="str">
        <x:v>Aug2025.xlsx</x:v>
      </x:c>
    </x:row>
    <x:row r="238">
      <x:c r="A238" s="46" t="n">
        <x:v>45896</x:v>
      </x:c>
      <x:c r="B238" s="30" t="str">
        <x:v>Aug-25</x:v>
      </x:c>
      <x:c r="C238" s="30" t="str">
        <x:v>Debit</x:v>
      </x:c>
      <x:c r="D238" s="19" t="str">
        <x:v>0171424176519/SBIEPYHIGHTENSIONHTP</x:v>
      </x:c>
      <x:c r="E238" s="30" t="str">
        <x:v>0000252404194395</x:v>
      </x:c>
      <x:c r="F238" s="30" t="str">
        <x:v>28/08/25</x:v>
      </x:c>
      <x:c r="G238" s="42" t="n">
        <x:v>5490</x:v>
      </x:c>
      <x:c r="H238" s="42"/>
      <x:c r="I238" s="42" t="n">
        <x:v>293700.54</x:v>
      </x:c>
      <x:c r="J238" s="30" t="str">
        <x:v>Possible vendor / operating payment</x:v>
      </x:c>
      <x:c r="K238" s="30" t="str">
        <x:v>Operating</x:v>
      </x:c>
      <x:c r="L238" s="22" t="str">
        <x:v>Pending source matching</x:v>
      </x:c>
      <x:c r="M238" s="30" t="str">
        <x:v>None</x:v>
      </x:c>
      <x:c r="N238" s="47" t="str">
        <x:v>Aug2025.xlsx</x:v>
      </x:c>
    </x:row>
    <x:row r="239">
      <x:c r="A239" s="46" t="n">
        <x:v>45896</x:v>
      </x:c>
      <x:c r="B239" s="30" t="str">
        <x:v>Aug-25</x:v>
      </x:c>
      <x:c r="C239" s="30" t="str">
        <x:v>Debit</x:v>
      </x:c>
      <x:c r="D239" s="19" t="str">
        <x:v>3824363287519/SBIEPYHIGHTENSIONHTP</x:v>
      </x:c>
      <x:c r="E239" s="30" t="str">
        <x:v>0000252404196557</x:v>
      </x:c>
      <x:c r="F239" s="30" t="str">
        <x:v>28/08/25</x:v>
      </x:c>
      <x:c r="G239" s="42" t="n">
        <x:v>8310</x:v>
      </x:c>
      <x:c r="H239" s="42"/>
      <x:c r="I239" s="42" t="n">
        <x:v>285390.54</x:v>
      </x:c>
      <x:c r="J239" s="30" t="str">
        <x:v>Possible vendor / operating payment</x:v>
      </x:c>
      <x:c r="K239" s="30" t="str">
        <x:v>Operating</x:v>
      </x:c>
      <x:c r="L239" s="22" t="str">
        <x:v>Pending source matching</x:v>
      </x:c>
      <x:c r="M239" s="30" t="str">
        <x:v>None</x:v>
      </x:c>
      <x:c r="N239" s="47" t="str">
        <x:v>Aug2025.xlsx</x:v>
      </x:c>
    </x:row>
    <x:row r="240">
      <x:c r="A240" s="46" t="n">
        <x:v>45896</x:v>
      </x:c>
      <x:c r="B240" s="30" t="str">
        <x:v>Aug-25</x:v>
      </x:c>
      <x:c r="C240" s="30" t="str">
        <x:v>Debit</x:v>
      </x:c>
      <x:c r="D240" s="19" t="str">
        <x:v>3784406494646/SBIEPYHIGHTENSIONHTP</x:v>
      </x:c>
      <x:c r="E240" s="30" t="str">
        <x:v>0000252404198509</x:v>
      </x:c>
      <x:c r="F240" s="30" t="str">
        <x:v>28/08/25</x:v>
      </x:c>
      <x:c r="G240" s="42" t="n">
        <x:v>5140</x:v>
      </x:c>
      <x:c r="H240" s="42"/>
      <x:c r="I240" s="42" t="n">
        <x:v>280250.54</x:v>
      </x:c>
      <x:c r="J240" s="30" t="str">
        <x:v>Possible vendor / operating payment</x:v>
      </x:c>
      <x:c r="K240" s="30" t="str">
        <x:v>Operating</x:v>
      </x:c>
      <x:c r="L240" s="22" t="str">
        <x:v>Pending source matching</x:v>
      </x:c>
      <x:c r="M240" s="30" t="str">
        <x:v>None</x:v>
      </x:c>
      <x:c r="N240" s="47" t="str">
        <x:v>Aug2025.xlsx</x:v>
      </x:c>
    </x:row>
    <x:row r="241">
      <x:c r="A241" s="46" t="n">
        <x:v>45896</x:v>
      </x:c>
      <x:c r="B241" s="30" t="str">
        <x:v>Aug-25</x:v>
      </x:c>
      <x:c r="C241" s="30" t="str">
        <x:v>Debit</x:v>
      </x:c>
      <x:c r="D241" s="19" t="str">
        <x:v>1979121818429/SBIEPYHIGHTENSIONHTP</x:v>
      </x:c>
      <x:c r="E241" s="30" t="str">
        <x:v>0000252404197684</x:v>
      </x:c>
      <x:c r="F241" s="30" t="str">
        <x:v>28/08/25</x:v>
      </x:c>
      <x:c r="G241" s="42" t="n">
        <x:v>51030</x:v>
      </x:c>
      <x:c r="H241" s="42"/>
      <x:c r="I241" s="42" t="n">
        <x:v>229220.54</x:v>
      </x:c>
      <x:c r="J241" s="30" t="str">
        <x:v>Possible vendor / operating payment</x:v>
      </x:c>
      <x:c r="K241" s="30" t="str">
        <x:v>Operating</x:v>
      </x:c>
      <x:c r="L241" s="22" t="str">
        <x:v>Pending source matching</x:v>
      </x:c>
      <x:c r="M241" s="30" t="str">
        <x:v>None</x:v>
      </x:c>
      <x:c r="N241" s="47" t="str">
        <x:v>Aug2025.xlsx</x:v>
      </x:c>
    </x:row>
    <x:row r="242">
      <x:c r="A242" s="46" t="n">
        <x:v>45896</x:v>
      </x:c>
      <x:c r="B242" s="30" t="str">
        <x:v>Aug-25</x:v>
      </x:c>
      <x:c r="C242" s="30" t="str">
        <x:v>Debit</x:v>
      </x:c>
      <x:c r="D242" s="19" t="str">
        <x:v>4044178217329/SBIEPYHIGHTENSIONHTP</x:v>
      </x:c>
      <x:c r="E242" s="30" t="str">
        <x:v>0000252404199918</x:v>
      </x:c>
      <x:c r="F242" s="30" t="str">
        <x:v>28/08/25</x:v>
      </x:c>
      <x:c r="G242" s="42" t="n">
        <x:v>5360</x:v>
      </x:c>
      <x:c r="H242" s="42"/>
      <x:c r="I242" s="42" t="n">
        <x:v>223860.54</x:v>
      </x:c>
      <x:c r="J242" s="30" t="str">
        <x:v>Possible vendor / operating payment</x:v>
      </x:c>
      <x:c r="K242" s="30" t="str">
        <x:v>Operating</x:v>
      </x:c>
      <x:c r="L242" s="22" t="str">
        <x:v>Pending source matching</x:v>
      </x:c>
      <x:c r="M242" s="30" t="str">
        <x:v>None</x:v>
      </x:c>
      <x:c r="N242" s="47" t="str">
        <x:v>Aug2025.xlsx</x:v>
      </x:c>
    </x:row>
    <x:row r="243">
      <x:c r="A243" s="46" t="n">
        <x:v>45896</x:v>
      </x:c>
      <x:c r="B243" s="30" t="str">
        <x:v>Aug-25</x:v>
      </x:c>
      <x:c r="C243" s="30" t="str">
        <x:v>Debit</x:v>
      </x:c>
      <x:c r="D243" s="19" t="str">
        <x:v>4556614666456/SBIEPYHIGHTENSIONHTP</x:v>
      </x:c>
      <x:c r="E243" s="30" t="str">
        <x:v>0000252404198977</x:v>
      </x:c>
      <x:c r="F243" s="30" t="str">
        <x:v>28/08/25</x:v>
      </x:c>
      <x:c r="G243" s="42" t="n">
        <x:v>4120</x:v>
      </x:c>
      <x:c r="H243" s="42"/>
      <x:c r="I243" s="42" t="n">
        <x:v>219740.54</x:v>
      </x:c>
      <x:c r="J243" s="30" t="str">
        <x:v>Possible vendor / operating payment</x:v>
      </x:c>
      <x:c r="K243" s="30" t="str">
        <x:v>Operating</x:v>
      </x:c>
      <x:c r="L243" s="22" t="str">
        <x:v>Pending source matching</x:v>
      </x:c>
      <x:c r="M243" s="30" t="str">
        <x:v>None</x:v>
      </x:c>
      <x:c r="N243" s="47" t="str">
        <x:v>Aug2025.xlsx</x:v>
      </x:c>
    </x:row>
    <x:row r="244">
      <x:c r="A244" s="46" t="n">
        <x:v>45896</x:v>
      </x:c>
      <x:c r="B244" s="30" t="str">
        <x:v>Aug-25</x:v>
      </x:c>
      <x:c r="C244" s="30" t="str">
        <x:v>Debit</x:v>
      </x:c>
      <x:c r="D244" s="19" t="str">
        <x:v>9571664362445/SBIEPYHIGHTENSIONHTP</x:v>
      </x:c>
      <x:c r="E244" s="30" t="str">
        <x:v>0000252404199895</x:v>
      </x:c>
      <x:c r="F244" s="30" t="str">
        <x:v>28/08/25</x:v>
      </x:c>
      <x:c r="G244" s="42" t="n">
        <x:v>23040</x:v>
      </x:c>
      <x:c r="H244" s="42"/>
      <x:c r="I244" s="42" t="n">
        <x:v>196700.54</x:v>
      </x:c>
      <x:c r="J244" s="30" t="str">
        <x:v>Possible vendor / operating payment</x:v>
      </x:c>
      <x:c r="K244" s="30" t="str">
        <x:v>Operating</x:v>
      </x:c>
      <x:c r="L244" s="22" t="str">
        <x:v>Pending source matching</x:v>
      </x:c>
      <x:c r="M244" s="30" t="str">
        <x:v>None</x:v>
      </x:c>
      <x:c r="N244" s="47" t="str">
        <x:v>Aug2025.xlsx</x:v>
      </x:c>
    </x:row>
    <x:row r="245">
      <x:c r="A245" s="46" t="n">
        <x:v>45898</x:v>
      </x:c>
      <x:c r="B245" s="30" t="str">
        <x:v>Aug-25</x:v>
      </x:c>
      <x:c r="C245" s="30" t="str">
        <x:v>Credit</x:v>
      </x:c>
      <x:c r="D245" s="19" t="str">
        <x:v>INTEREST CREDIT 50301152473159</x:v>
      </x:c>
      <x:c r="E245" s="30" t="str">
        <x:v>3304220250830764</x:v>
      </x:c>
      <x:c r="F245" s="30" t="str">
        <x:v>30/08/25</x:v>
      </x:c>
      <x:c r="G245" s="42"/>
      <x:c r="H245" s="42" t="n">
        <x:v>2984</x:v>
      </x:c>
      <x:c r="I245" s="42" t="n">
        <x:v>199684.54</x:v>
      </x:c>
      <x:c r="J245" s="30" t="str">
        <x:v>Interest income</x:v>
      </x:c>
      <x:c r="K245" s="30" t="str">
        <x:v>Investment</x:v>
      </x:c>
      <x:c r="L245" s="22" t="str">
        <x:v>Pending source matching</x:v>
      </x:c>
      <x:c r="M245" s="30" t="str">
        <x:v>None</x:v>
      </x:c>
      <x:c r="N245" s="47" t="str">
        <x:v>Aug2025.xlsx</x:v>
      </x:c>
    </x:row>
    <x:row r="246">
      <x:c r="A246" s="46" t="n">
        <x:v>45898</x:v>
      </x:c>
      <x:c r="B246" s="30" t="str">
        <x:v>Aug-25</x:v>
      </x:c>
      <x:c r="C246" s="30" t="str">
        <x:v>Credit</x:v>
      </x:c>
      <x:c r="D246" s="19" t="str">
        <x:v>PRIN AND INT AUTO_REDEEM 50301152473159</x:v>
      </x:c>
      <x:c r="E246" s="30" t="str">
        <x:v>3304220250830800</x:v>
      </x:c>
      <x:c r="F246" s="30" t="str">
        <x:v>30/08/25</x:v>
      </x:c>
      <x:c r="G246" s="42"/>
      <x:c r="H246" s="42" t="n">
        <x:v>200000</x:v>
      </x:c>
      <x:c r="I246" s="42" t="n">
        <x:v>399684.54</x:v>
      </x:c>
      <x:c r="J246" s="30" t="str">
        <x:v>FD maturity / redemption</x:v>
      </x:c>
      <x:c r="K246" s="30" t="str">
        <x:v>Investment</x:v>
      </x:c>
      <x:c r="L246" s="22" t="str">
        <x:v>Pending source matching</x:v>
      </x:c>
      <x:c r="M246" s="30" t="str">
        <x:v>None</x:v>
      </x:c>
      <x:c r="N246" s="47" t="str">
        <x:v>Aug2025.xlsx</x:v>
      </x:c>
    </x:row>
    <x:row r="247">
      <x:c r="A247" s="46" t="n">
        <x:v>45899</x:v>
      </x:c>
      <x:c r="B247" s="30" t="str">
        <x:v>Aug-25</x:v>
      </x:c>
      <x:c r="C247" s="30" t="str">
        <x:v>Debit</x:v>
      </x:c>
      <x:c r="D247" s="19" t="str">
        <x:v>CHQ RETURN CHGS INCL GST 110825-MIR2624337150393</x:v>
      </x:c>
      <x:c r="E247" s="30" t="str">
        <x:v>0000000000000804</x:v>
      </x:c>
      <x:c r="F247" s="30" t="str">
        <x:v>31/08/25</x:v>
      </x:c>
      <x:c r="G247" s="42" t="n">
        <x:v>59</x:v>
      </x:c>
      <x:c r="H247" s="42"/>
      <x:c r="I247" s="42" t="n">
        <x:v>399625.54</x:v>
      </x:c>
      <x:c r="J247" s="30" t="str">
        <x:v>Tax / statutory payment</x:v>
      </x:c>
      <x:c r="K247" s="30" t="str">
        <x:v>Operating</x:v>
      </x:c>
      <x:c r="L247" s="22" t="str">
        <x:v>Pending source matching</x:v>
      </x:c>
      <x:c r="M247" s="30" t="str">
        <x:v>None</x:v>
      </x:c>
      <x:c r="N247" s="47" t="str">
        <x:v>Aug2025.xlsx</x:v>
      </x:c>
    </x:row>
    <x:row r="248">
      <x:c r="A248" s="46" t="n">
        <x:v>45900</x:v>
      </x:c>
      <x:c r="B248" s="30" t="str">
        <x:v>Sep-25</x:v>
      </x:c>
      <x:c r="C248" s="30" t="str">
        <x:v>Debit</x:v>
      </x:c>
      <x:c r="D248" s="19" t="str">
        <x:v>CHQ PAID-MICR CTS-MU-KONE EEVATOR INDIA</x:v>
      </x:c>
      <x:c r="E248" s="30" t="str">
        <x:v>0000000000000789</x:v>
      </x:c>
      <x:c r="F248" s="30" t="str">
        <x:v>01/09/25</x:v>
      </x:c>
      <x:c r="G248" s="42" t="n">
        <x:v>3209</x:v>
      </x:c>
      <x:c r="H248" s="42"/>
      <x:c r="I248" s="42" t="n">
        <x:v>396416.54</x:v>
      </x:c>
      <x:c r="J248" s="30" t="str">
        <x:v>Possible vendor / operating payment</x:v>
      </x:c>
      <x:c r="K248" s="30" t="str">
        <x:v>Operating</x:v>
      </x:c>
      <x:c r="L248" s="22" t="str">
        <x:v>Pending source matching</x:v>
      </x:c>
      <x:c r="M248" s="30" t="str">
        <x:v>None</x:v>
      </x:c>
      <x:c r="N248" s="47" t="str">
        <x:v>Sept2025.xlsx</x:v>
      </x:c>
    </x:row>
    <x:row r="249">
      <x:c r="A249" s="46" t="n">
        <x:v>45900</x:v>
      </x:c>
      <x:c r="B249" s="30" t="str">
        <x:v>Sep-25</x:v>
      </x:c>
      <x:c r="C249" s="30" t="str">
        <x:v>Credit</x:v>
      </x:c>
      <x:c r="D249" s="19" t="str">
        <x:v>UPI SETTLEMENT -DKB258- 01/09/25</x:v>
      </x:c>
      <x:c r="E249" s="30" t="str">
        <x:v>000000000000000</x:v>
      </x:c>
      <x:c r="F249" s="30" t="str">
        <x:v>01/09/25</x:v>
      </x:c>
      <x:c r="G249" s="42"/>
      <x:c r="H249" s="42" t="n">
        <x:v>1971.68</x:v>
      </x:c>
      <x:c r="I249" s="42" t="n">
        <x:v>398388.22</x:v>
      </x:c>
      <x:c r="J249" s="30" t="str">
        <x:v>Possible collection</x:v>
      </x:c>
      <x:c r="K249" s="30" t="str">
        <x:v>Operating</x:v>
      </x:c>
      <x:c r="L249" s="22" t="str">
        <x:v>Pending source matching</x:v>
      </x:c>
      <x:c r="M249" s="30" t="str">
        <x:v>None</x:v>
      </x:c>
      <x:c r="N249" s="47" t="str">
        <x:v>Sept2025.xlsx</x:v>
      </x:c>
    </x:row>
    <x:row r="250">
      <x:c r="A250" s="46" t="n">
        <x:v>45901</x:v>
      </x:c>
      <x:c r="B250" s="30" t="str">
        <x:v>Sep-25</x:v>
      </x:c>
      <x:c r="C250" s="30" t="str">
        <x:v>Credit</x:v>
      </x:c>
      <x:c r="D250" s="19" t="str">
        <x:v>UPI SETTLEMENT -DKB258- 02/09/25</x:v>
      </x:c>
      <x:c r="E250" s="30" t="str">
        <x:v>000000000000000</x:v>
      </x:c>
      <x:c r="F250" s="30" t="str">
        <x:v>02/09/25</x:v>
      </x:c>
      <x:c r="G250" s="42"/>
      <x:c r="H250" s="42" t="n">
        <x:v>6000</x:v>
      </x:c>
      <x:c r="I250" s="42" t="n">
        <x:v>404388.22</x:v>
      </x:c>
      <x:c r="J250" s="30" t="str">
        <x:v>Possible collection</x:v>
      </x:c>
      <x:c r="K250" s="30" t="str">
        <x:v>Operating</x:v>
      </x:c>
      <x:c r="L250" s="22" t="str">
        <x:v>Pending source matching</x:v>
      </x:c>
      <x:c r="M250" s="30" t="str">
        <x:v>None</x:v>
      </x:c>
      <x:c r="N250" s="47" t="str">
        <x:v>Sept2025.xlsx</x:v>
      </x:c>
    </x:row>
    <x:row r="251">
      <x:c r="A251" s="46" t="n">
        <x:v>45902</x:v>
      </x:c>
      <x:c r="B251" s="30" t="str">
        <x:v>Sep-25</x:v>
      </x:c>
      <x:c r="C251" s="30" t="str">
        <x:v>Debit</x:v>
      </x:c>
      <x:c r="D251" s="19" t="str">
        <x:v>SELF - CHQ PAID - PASHAN - PUN</x:v>
      </x:c>
      <x:c r="E251" s="30" t="str">
        <x:v>0000000000000818</x:v>
      </x:c>
      <x:c r="F251" s="30" t="str">
        <x:v>03/09/25</x:v>
      </x:c>
      <x:c r="G251" s="42" t="n">
        <x:v>4500</x:v>
      </x:c>
      <x:c r="H251" s="42"/>
      <x:c r="I251" s="42" t="n">
        <x:v>399888.22</x:v>
      </x:c>
      <x:c r="J251" s="30" t="str">
        <x:v>Possible vendor / operating payment</x:v>
      </x:c>
      <x:c r="K251" s="30" t="str">
        <x:v>Operating</x:v>
      </x:c>
      <x:c r="L251" s="22" t="str">
        <x:v>Pending source matching</x:v>
      </x:c>
      <x:c r="M251" s="30" t="str">
        <x:v>None</x:v>
      </x:c>
      <x:c r="N251" s="47" t="str">
        <x:v>Sept2025.xlsx</x:v>
      </x:c>
    </x:row>
    <x:row r="252">
      <x:c r="A252" s="46" t="n">
        <x:v>45902</x:v>
      </x:c>
      <x:c r="B252" s="30" t="str">
        <x:v>Sep-25</x:v>
      </x:c>
      <x:c r="C252" s="30" t="str">
        <x:v>Debit</x:v>
      </x:c>
      <x:c r="D252" s="19" t="str">
        <x:v>SELF - CHQ PAID - PASHAN - PUN</x:v>
      </x:c>
      <x:c r="E252" s="30" t="str">
        <x:v>0000000000000819</x:v>
      </x:c>
      <x:c r="F252" s="30" t="str">
        <x:v>03/09/25</x:v>
      </x:c>
      <x:c r="G252" s="42" t="n">
        <x:v>4500</x:v>
      </x:c>
      <x:c r="H252" s="42"/>
      <x:c r="I252" s="42" t="n">
        <x:v>395388.22</x:v>
      </x:c>
      <x:c r="J252" s="30" t="str">
        <x:v>Possible vendor / operating payment</x:v>
      </x:c>
      <x:c r="K252" s="30" t="str">
        <x:v>Operating</x:v>
      </x:c>
      <x:c r="L252" s="22" t="str">
        <x:v>Pending source matching</x:v>
      </x:c>
      <x:c r="M252" s="30" t="str">
        <x:v>None</x:v>
      </x:c>
      <x:c r="N252" s="47" t="str">
        <x:v>Sept2025.xlsx</x:v>
      </x:c>
    </x:row>
    <x:row r="253">
      <x:c r="A253" s="46" t="n">
        <x:v>45902</x:v>
      </x:c>
      <x:c r="B253" s="30" t="str">
        <x:v>Sep-25</x:v>
      </x:c>
      <x:c r="C253" s="30" t="str">
        <x:v>Debit</x:v>
      </x:c>
      <x:c r="D253" s="19" t="str">
        <x:v>SELF - CHQ PAID - PASHAN - PUN</x:v>
      </x:c>
      <x:c r="E253" s="30" t="str">
        <x:v>0000000000000816</x:v>
      </x:c>
      <x:c r="F253" s="30" t="str">
        <x:v>03/09/25</x:v>
      </x:c>
      <x:c r="G253" s="42" t="n">
        <x:v>4200</x:v>
      </x:c>
      <x:c r="H253" s="42"/>
      <x:c r="I253" s="42" t="n">
        <x:v>391188.22</x:v>
      </x:c>
      <x:c r="J253" s="30" t="str">
        <x:v>Possible vendor / operating payment</x:v>
      </x:c>
      <x:c r="K253" s="30" t="str">
        <x:v>Operating</x:v>
      </x:c>
      <x:c r="L253" s="22" t="str">
        <x:v>Pending source matching</x:v>
      </x:c>
      <x:c r="M253" s="30" t="str">
        <x:v>None</x:v>
      </x:c>
      <x:c r="N253" s="47" t="str">
        <x:v>Sept2025.xlsx</x:v>
      </x:c>
    </x:row>
    <x:row r="254">
      <x:c r="A254" s="46" t="n">
        <x:v>45903</x:v>
      </x:c>
      <x:c r="B254" s="30" t="str">
        <x:v>Sep-25</x:v>
      </x:c>
      <x:c r="C254" s="30" t="str">
        <x:v>Debit</x:v>
      </x:c>
      <x:c r="D254" s="19" t="str">
        <x:v>CHQ PAID-MICR CTS-MU-NETWORK SERVICES</x:v>
      </x:c>
      <x:c r="E254" s="30" t="str">
        <x:v>0000000000000811</x:v>
      </x:c>
      <x:c r="F254" s="30" t="str">
        <x:v>04/09/25</x:v>
      </x:c>
      <x:c r="G254" s="42" t="n">
        <x:v>53460</x:v>
      </x:c>
      <x:c r="H254" s="42"/>
      <x:c r="I254" s="42" t="n">
        <x:v>337728.22</x:v>
      </x:c>
      <x:c r="J254" s="30" t="str">
        <x:v>Possible vendor / operating payment</x:v>
      </x:c>
      <x:c r="K254" s="30" t="str">
        <x:v>Operating</x:v>
      </x:c>
      <x:c r="L254" s="22" t="str">
        <x:v>Pending source matching</x:v>
      </x:c>
      <x:c r="M254" s="30" t="str">
        <x:v>None</x:v>
      </x:c>
      <x:c r="N254" s="47" t="str">
        <x:v>Sept2025.xlsx</x:v>
      </x:c>
    </x:row>
    <x:row r="255">
      <x:c r="A255" s="46" t="n">
        <x:v>45903</x:v>
      </x:c>
      <x:c r="B255" s="30" t="str">
        <x:v>Sep-25</x:v>
      </x:c>
      <x:c r="C255" s="30" t="str">
        <x:v>Debit</x:v>
      </x:c>
      <x:c r="D255" s="19" t="str">
        <x:v>CHQ PAID-MICR CTS-MU-DEEPAK B JAISWAL</x:v>
      </x:c>
      <x:c r="E255" s="30" t="str">
        <x:v>0000000000000810</x:v>
      </x:c>
      <x:c r="F255" s="30" t="str">
        <x:v>04/09/25</x:v>
      </x:c>
      <x:c r="G255" s="42" t="n">
        <x:v>24500</x:v>
      </x:c>
      <x:c r="H255" s="42"/>
      <x:c r="I255" s="42" t="n">
        <x:v>313228.22</x:v>
      </x:c>
      <x:c r="J255" s="30" t="str">
        <x:v>Possible vendor / operating payment</x:v>
      </x:c>
      <x:c r="K255" s="30" t="str">
        <x:v>Operating</x:v>
      </x:c>
      <x:c r="L255" s="22" t="str">
        <x:v>Pending source matching</x:v>
      </x:c>
      <x:c r="M255" s="30" t="str">
        <x:v>None</x:v>
      </x:c>
      <x:c r="N255" s="47" t="str">
        <x:v>Sept2025.xlsx</x:v>
      </x:c>
    </x:row>
    <x:row r="256">
      <x:c r="A256" s="46" t="n">
        <x:v>45903</x:v>
      </x:c>
      <x:c r="B256" s="30" t="str">
        <x:v>Sep-25</x:v>
      </x:c>
      <x:c r="C256" s="30" t="str">
        <x:v>Debit</x:v>
      </x:c>
      <x:c r="D256" s="19" t="str">
        <x:v>BHAGWAT G FASAGE - CHQ PAID - PASHAN - PUN</x:v>
      </x:c>
      <x:c r="E256" s="30" t="str">
        <x:v>0000000000000814</x:v>
      </x:c>
      <x:c r="F256" s="30" t="str">
        <x:v>04/09/25</x:v>
      </x:c>
      <x:c r="G256" s="42" t="n">
        <x:v>4500</x:v>
      </x:c>
      <x:c r="H256" s="42"/>
      <x:c r="I256" s="42" t="n">
        <x:v>308728.22</x:v>
      </x:c>
      <x:c r="J256" s="30" t="str">
        <x:v>Possible vendor / operating payment</x:v>
      </x:c>
      <x:c r="K256" s="30" t="str">
        <x:v>Operating</x:v>
      </x:c>
      <x:c r="L256" s="22" t="str">
        <x:v>Pending source matching</x:v>
      </x:c>
      <x:c r="M256" s="30" t="str">
        <x:v>None</x:v>
      </x:c>
      <x:c r="N256" s="47" t="str">
        <x:v>Sept2025.xlsx</x:v>
      </x:c>
    </x:row>
    <x:row r="257">
      <x:c r="A257" s="46" t="n">
        <x:v>45904</x:v>
      </x:c>
      <x:c r="B257" s="30" t="str">
        <x:v>Sep-25</x:v>
      </x:c>
      <x:c r="C257" s="30" t="str">
        <x:v>Debit</x:v>
      </x:c>
      <x:c r="D257" s="19" t="str">
        <x:v>CHQ PAID-MICR CTS-MU-SHAVEYA GROUP</x:v>
      </x:c>
      <x:c r="E257" s="30" t="str">
        <x:v>0000000000000820</x:v>
      </x:c>
      <x:c r="F257" s="30" t="str">
        <x:v>05/09/25</x:v>
      </x:c>
      <x:c r="G257" s="42" t="n">
        <x:v>57420</x:v>
      </x:c>
      <x:c r="H257" s="42"/>
      <x:c r="I257" s="42" t="n">
        <x:v>251308.22</x:v>
      </x:c>
      <x:c r="J257" s="30" t="str">
        <x:v>Possible vendor / operating payment</x:v>
      </x:c>
      <x:c r="K257" s="30" t="str">
        <x:v>Operating</x:v>
      </x:c>
      <x:c r="L257" s="22" t="str">
        <x:v>Pending source matching</x:v>
      </x:c>
      <x:c r="M257" s="30" t="str">
        <x:v>None</x:v>
      </x:c>
      <x:c r="N257" s="47" t="str">
        <x:v>Sept2025.xlsx</x:v>
      </x:c>
    </x:row>
    <x:row r="258">
      <x:c r="A258" s="46" t="n">
        <x:v>45904</x:v>
      </x:c>
      <x:c r="B258" s="30" t="str">
        <x:v>Sep-25</x:v>
      </x:c>
      <x:c r="C258" s="30" t="str">
        <x:v>Debit</x:v>
      </x:c>
      <x:c r="D258" s="19" t="str">
        <x:v>CHQ PAID-MICR CTS-MU-MAHENDRA D WARTHMUR</x:v>
      </x:c>
      <x:c r="E258" s="30" t="str">
        <x:v>0000000000000812</x:v>
      </x:c>
      <x:c r="F258" s="30" t="str">
        <x:v>05/09/25</x:v>
      </x:c>
      <x:c r="G258" s="42" t="n">
        <x:v>5000</x:v>
      </x:c>
      <x:c r="H258" s="42"/>
      <x:c r="I258" s="42" t="n">
        <x:v>246308.22</x:v>
      </x:c>
      <x:c r="J258" s="30" t="str">
        <x:v>Possible vendor / operating payment</x:v>
      </x:c>
      <x:c r="K258" s="30" t="str">
        <x:v>Operating</x:v>
      </x:c>
      <x:c r="L258" s="22" t="str">
        <x:v>Pending source matching</x:v>
      </x:c>
      <x:c r="M258" s="30" t="str">
        <x:v>None</x:v>
      </x:c>
      <x:c r="N258" s="47" t="str">
        <x:v>Sept2025.xlsx</x:v>
      </x:c>
    </x:row>
    <x:row r="259">
      <x:c r="A259" s="46" t="n">
        <x:v>45904</x:v>
      </x:c>
      <x:c r="B259" s="30" t="str">
        <x:v>Sep-25</x:v>
      </x:c>
      <x:c r="C259" s="30" t="str">
        <x:v>Credit</x:v>
      </x:c>
      <x:c r="D259" s="19" t="str">
        <x:v>UPI SETTLEMENT -DKB258- 05/09/25</x:v>
      </x:c>
      <x:c r="E259" s="30" t="str">
        <x:v>000000000000000</x:v>
      </x:c>
      <x:c r="F259" s="30" t="str">
        <x:v>05/09/25</x:v>
      </x:c>
      <x:c r="G259" s="42"/>
      <x:c r="H259" s="42" t="n">
        <x:v>2000</x:v>
      </x:c>
      <x:c r="I259" s="42" t="n">
        <x:v>248308.22</x:v>
      </x:c>
      <x:c r="J259" s="30" t="str">
        <x:v>Possible collection</x:v>
      </x:c>
      <x:c r="K259" s="30" t="str">
        <x:v>Operating</x:v>
      </x:c>
      <x:c r="L259" s="22" t="str">
        <x:v>Pending source matching</x:v>
      </x:c>
      <x:c r="M259" s="30" t="str">
        <x:v>None</x:v>
      </x:c>
      <x:c r="N259" s="47" t="str">
        <x:v>Sept2025.xlsx</x:v>
      </x:c>
    </x:row>
    <x:row r="260">
      <x:c r="A260" s="46" t="n">
        <x:v>45909</x:v>
      </x:c>
      <x:c r="B260" s="30" t="str">
        <x:v>Sep-25</x:v>
      </x:c>
      <x:c r="C260" s="30" t="str">
        <x:v>Debit</x:v>
      </x:c>
      <x:c r="D260" s="19" t="str">
        <x:v>SELF - CHQ PAID - PASHAN - PUN</x:v>
      </x:c>
      <x:c r="E260" s="30" t="str">
        <x:v>0000000000000824</x:v>
      </x:c>
      <x:c r="F260" s="30" t="str">
        <x:v>10/09/25</x:v>
      </x:c>
      <x:c r="G260" s="42" t="n">
        <x:v>2850</x:v>
      </x:c>
      <x:c r="H260" s="42"/>
      <x:c r="I260" s="42" t="n">
        <x:v>245458.22</x:v>
      </x:c>
      <x:c r="J260" s="30" t="str">
        <x:v>Possible vendor / operating payment</x:v>
      </x:c>
      <x:c r="K260" s="30" t="str">
        <x:v>Operating</x:v>
      </x:c>
      <x:c r="L260" s="22" t="str">
        <x:v>Pending source matching</x:v>
      </x:c>
      <x:c r="M260" s="30" t="str">
        <x:v>None</x:v>
      </x:c>
      <x:c r="N260" s="47" t="str">
        <x:v>Sept2025.xlsx</x:v>
      </x:c>
    </x:row>
    <x:row r="261">
      <x:c r="A261" s="46" t="n">
        <x:v>45910</x:v>
      </x:c>
      <x:c r="B261" s="30" t="str">
        <x:v>Sep-25</x:v>
      </x:c>
      <x:c r="C261" s="30" t="str">
        <x:v>Debit</x:v>
      </x:c>
      <x:c r="D261" s="19" t="str">
        <x:v>FONI BARDHAN - CHQ PAID - PASHAN - PUN</x:v>
      </x:c>
      <x:c r="E261" s="30" t="str">
        <x:v>0000000000000813</x:v>
      </x:c>
      <x:c r="F261" s="30" t="str">
        <x:v>11/09/25</x:v>
      </x:c>
      <x:c r="G261" s="42" t="n">
        <x:v>4500</x:v>
      </x:c>
      <x:c r="H261" s="42"/>
      <x:c r="I261" s="42" t="n">
        <x:v>240958.22</x:v>
      </x:c>
      <x:c r="J261" s="30" t="str">
        <x:v>Possible vendor / operating payment</x:v>
      </x:c>
      <x:c r="K261" s="30" t="str">
        <x:v>Operating</x:v>
      </x:c>
      <x:c r="L261" s="22" t="str">
        <x:v>Pending source matching</x:v>
      </x:c>
      <x:c r="M261" s="30" t="str">
        <x:v>None</x:v>
      </x:c>
      <x:c r="N261" s="47" t="str">
        <x:v>Sept2025.xlsx</x:v>
      </x:c>
    </x:row>
    <x:row r="262">
      <x:c r="A262" s="46" t="n">
        <x:v>45911</x:v>
      </x:c>
      <x:c r="B262" s="30" t="str">
        <x:v>Sep-25</x:v>
      </x:c>
      <x:c r="C262" s="30" t="str">
        <x:v>Debit</x:v>
      </x:c>
      <x:c r="D262" s="19" t="str">
        <x:v>CHQ PAID-MICR CTS-MU-NOUSHAD SARFUDDIN A</x:v>
      </x:c>
      <x:c r="E262" s="30" t="str">
        <x:v>0000000000000823</x:v>
      </x:c>
      <x:c r="F262" s="30" t="str">
        <x:v>12/09/25</x:v>
      </x:c>
      <x:c r="G262" s="42" t="n">
        <x:v>14800</x:v>
      </x:c>
      <x:c r="H262" s="42"/>
      <x:c r="I262" s="42" t="n">
        <x:v>226158.22</x:v>
      </x:c>
      <x:c r="J262" s="30" t="str">
        <x:v>Possible vendor / operating payment</x:v>
      </x:c>
      <x:c r="K262" s="30" t="str">
        <x:v>Operating</x:v>
      </x:c>
      <x:c r="L262" s="22" t="str">
        <x:v>Pending source matching</x:v>
      </x:c>
      <x:c r="M262" s="30" t="str">
        <x:v>None</x:v>
      </x:c>
      <x:c r="N262" s="47" t="str">
        <x:v>Sept2025.xlsx</x:v>
      </x:c>
    </x:row>
    <x:row r="263">
      <x:c r="A263" s="46" t="n">
        <x:v>45911</x:v>
      </x:c>
      <x:c r="B263" s="30" t="str">
        <x:v>Sep-25</x:v>
      </x:c>
      <x:c r="C263" s="30" t="str">
        <x:v>Debit</x:v>
      </x:c>
      <x:c r="D263" s="19" t="str">
        <x:v>CHQ PAID-MICR CTS-MU-SOHAM ENTERPRISES</x:v>
      </x:c>
      <x:c r="E263" s="30" t="str">
        <x:v>0000000000000815</x:v>
      </x:c>
      <x:c r="F263" s="30" t="str">
        <x:v>12/09/25</x:v>
      </x:c>
      <x:c r="G263" s="42" t="n">
        <x:v>5000</x:v>
      </x:c>
      <x:c r="H263" s="42"/>
      <x:c r="I263" s="42" t="n">
        <x:v>221158.22</x:v>
      </x:c>
      <x:c r="J263" s="30" t="str">
        <x:v>Possible vendor / operating payment</x:v>
      </x:c>
      <x:c r="K263" s="30" t="str">
        <x:v>Operating</x:v>
      </x:c>
      <x:c r="L263" s="22" t="str">
        <x:v>Pending source matching</x:v>
      </x:c>
      <x:c r="M263" s="30" t="str">
        <x:v>None</x:v>
      </x:c>
      <x:c r="N263" s="47" t="str">
        <x:v>Sept2025.xlsx</x:v>
      </x:c>
    </x:row>
    <x:row r="264">
      <x:c r="A264" s="46" t="n">
        <x:v>45912</x:v>
      </x:c>
      <x:c r="B264" s="30" t="str">
        <x:v>Sep-25</x:v>
      </x:c>
      <x:c r="C264" s="30" t="str">
        <x:v>Debit</x:v>
      </x:c>
      <x:c r="D264" s="19" t="str">
        <x:v>2997516579527/SBIEPYHIGHTENSIONHTP</x:v>
      </x:c>
      <x:c r="E264" s="30" t="str">
        <x:v>0000252569044716</x:v>
      </x:c>
      <x:c r="F264" s="30" t="str">
        <x:v>13/09/25</x:v>
      </x:c>
      <x:c r="G264" s="42" t="n">
        <x:v>18420</x:v>
      </x:c>
      <x:c r="H264" s="42"/>
      <x:c r="I264" s="42" t="n">
        <x:v>202738.22</x:v>
      </x:c>
      <x:c r="J264" s="30" t="str">
        <x:v>Possible vendor / operating payment</x:v>
      </x:c>
      <x:c r="K264" s="30" t="str">
        <x:v>Operating</x:v>
      </x:c>
      <x:c r="L264" s="22" t="str">
        <x:v>Pending source matching</x:v>
      </x:c>
      <x:c r="M264" s="30" t="str">
        <x:v>None</x:v>
      </x:c>
      <x:c r="N264" s="47" t="str">
        <x:v>Sept2025.xlsx</x:v>
      </x:c>
    </x:row>
    <x:row r="265">
      <x:c r="A265" s="46" t="n">
        <x:v>45912</x:v>
      </x:c>
      <x:c r="B265" s="30" t="str">
        <x:v>Sep-25</x:v>
      </x:c>
      <x:c r="C265" s="30" t="str">
        <x:v>Debit</x:v>
      </x:c>
      <x:c r="D265" s="19" t="str">
        <x:v>6515166455015/SBIEPYHIGHTENSIONHTP</x:v>
      </x:c>
      <x:c r="E265" s="30" t="str">
        <x:v>0000252569045805</x:v>
      </x:c>
      <x:c r="F265" s="30" t="str">
        <x:v>13/09/25</x:v>
      </x:c>
      <x:c r="G265" s="42" t="n">
        <x:v>4390</x:v>
      </x:c>
      <x:c r="H265" s="42"/>
      <x:c r="I265" s="42" t="n">
        <x:v>198348.22</x:v>
      </x:c>
      <x:c r="J265" s="30" t="str">
        <x:v>Possible vendor / operating payment</x:v>
      </x:c>
      <x:c r="K265" s="30" t="str">
        <x:v>Operating</x:v>
      </x:c>
      <x:c r="L265" s="22" t="str">
        <x:v>Pending source matching</x:v>
      </x:c>
      <x:c r="M265" s="30" t="str">
        <x:v>None</x:v>
      </x:c>
      <x:c r="N265" s="47" t="str">
        <x:v>Sept2025.xlsx</x:v>
      </x:c>
    </x:row>
    <x:row r="266">
      <x:c r="A266" s="46" t="n">
        <x:v>45912</x:v>
      </x:c>
      <x:c r="B266" s="30" t="str">
        <x:v>Sep-25</x:v>
      </x:c>
      <x:c r="C266" s="30" t="str">
        <x:v>Debit</x:v>
      </x:c>
      <x:c r="D266" s="19" t="str">
        <x:v>9157099173446/SBIEPYHIGHTENSIONHTP</x:v>
      </x:c>
      <x:c r="E266" s="30" t="str">
        <x:v>0000252569046606</x:v>
      </x:c>
      <x:c r="F266" s="30" t="str">
        <x:v>13/09/25</x:v>
      </x:c>
      <x:c r="G266" s="42" t="n">
        <x:v>6330</x:v>
      </x:c>
      <x:c r="H266" s="42"/>
      <x:c r="I266" s="42" t="n">
        <x:v>192018.22</x:v>
      </x:c>
      <x:c r="J266" s="30" t="str">
        <x:v>Possible vendor / operating payment</x:v>
      </x:c>
      <x:c r="K266" s="30" t="str">
        <x:v>Operating</x:v>
      </x:c>
      <x:c r="L266" s="22" t="str">
        <x:v>Pending source matching</x:v>
      </x:c>
      <x:c r="M266" s="30" t="str">
        <x:v>None</x:v>
      </x:c>
      <x:c r="N266" s="47" t="str">
        <x:v>Sept2025.xlsx</x:v>
      </x:c>
    </x:row>
    <x:row r="267">
      <x:c r="A267" s="46" t="n">
        <x:v>45912</x:v>
      </x:c>
      <x:c r="B267" s="30" t="str">
        <x:v>Sep-25</x:v>
      </x:c>
      <x:c r="C267" s="30" t="str">
        <x:v>Debit</x:v>
      </x:c>
      <x:c r="D267" s="19" t="str">
        <x:v>5804177212346/SBIEPYHIGHTENSIONHTP</x:v>
      </x:c>
      <x:c r="E267" s="30" t="str">
        <x:v>0000252569045830</x:v>
      </x:c>
      <x:c r="F267" s="30" t="str">
        <x:v>13/09/25</x:v>
      </x:c>
      <x:c r="G267" s="42" t="n">
        <x:v>44130</x:v>
      </x:c>
      <x:c r="H267" s="42"/>
      <x:c r="I267" s="42" t="n">
        <x:v>147888.22</x:v>
      </x:c>
      <x:c r="J267" s="30" t="str">
        <x:v>Possible vendor / operating payment</x:v>
      </x:c>
      <x:c r="K267" s="30" t="str">
        <x:v>Operating</x:v>
      </x:c>
      <x:c r="L267" s="22" t="str">
        <x:v>Pending source matching</x:v>
      </x:c>
      <x:c r="M267" s="30" t="str">
        <x:v>None</x:v>
      </x:c>
      <x:c r="N267" s="47" t="str">
        <x:v>Sept2025.xlsx</x:v>
      </x:c>
    </x:row>
    <x:row r="268">
      <x:c r="A268" s="46" t="n">
        <x:v>45912</x:v>
      </x:c>
      <x:c r="B268" s="30" t="str">
        <x:v>Sep-25</x:v>
      </x:c>
      <x:c r="C268" s="30" t="str">
        <x:v>Debit</x:v>
      </x:c>
      <x:c r="D268" s="19" t="str">
        <x:v>2170749345833/SBIEPYHIGHTENSIONHTP</x:v>
      </x:c>
      <x:c r="E268" s="30" t="str">
        <x:v>0000252569045562</x:v>
      </x:c>
      <x:c r="F268" s="30" t="str">
        <x:v>13/09/25</x:v>
      </x:c>
      <x:c r="G268" s="42" t="n">
        <x:v>5790</x:v>
      </x:c>
      <x:c r="H268" s="42"/>
      <x:c r="I268" s="42" t="n">
        <x:v>142098.22</x:v>
      </x:c>
      <x:c r="J268" s="30" t="str">
        <x:v>Possible vendor / operating payment</x:v>
      </x:c>
      <x:c r="K268" s="30" t="str">
        <x:v>Operating</x:v>
      </x:c>
      <x:c r="L268" s="22" t="str">
        <x:v>Pending source matching</x:v>
      </x:c>
      <x:c r="M268" s="30" t="str">
        <x:v>None</x:v>
      </x:c>
      <x:c r="N268" s="47" t="str">
        <x:v>Sept2025.xlsx</x:v>
      </x:c>
    </x:row>
    <x:row r="269">
      <x:c r="A269" s="46" t="n">
        <x:v>45912</x:v>
      </x:c>
      <x:c r="B269" s="30" t="str">
        <x:v>Sep-25</x:v>
      </x:c>
      <x:c r="C269" s="30" t="str">
        <x:v>Debit</x:v>
      </x:c>
      <x:c r="D269" s="19" t="str">
        <x:v>6930792612633/SBIEPYHIGHTENSIONHTP</x:v>
      </x:c>
      <x:c r="E269" s="30" t="str">
        <x:v>0000252569046835</x:v>
      </x:c>
      <x:c r="F269" s="30" t="str">
        <x:v>13/09/25</x:v>
      </x:c>
      <x:c r="G269" s="42" t="n">
        <x:v>8100</x:v>
      </x:c>
      <x:c r="H269" s="42"/>
      <x:c r="I269" s="42" t="n">
        <x:v>133998.22</x:v>
      </x:c>
      <x:c r="J269" s="30" t="str">
        <x:v>Possible vendor / operating payment</x:v>
      </x:c>
      <x:c r="K269" s="30" t="str">
        <x:v>Operating</x:v>
      </x:c>
      <x:c r="L269" s="22" t="str">
        <x:v>Pending source matching</x:v>
      </x:c>
      <x:c r="M269" s="30" t="str">
        <x:v>None</x:v>
      </x:c>
      <x:c r="N269" s="47" t="str">
        <x:v>Sept2025.xlsx</x:v>
      </x:c>
    </x:row>
    <x:row r="270">
      <x:c r="A270" s="46" t="n">
        <x:v>45912</x:v>
      </x:c>
      <x:c r="B270" s="30" t="str">
        <x:v>Sep-25</x:v>
      </x:c>
      <x:c r="C270" s="30" t="str">
        <x:v>Debit</x:v>
      </x:c>
      <x:c r="D270" s="19" t="str">
        <x:v>2697422298627/SBIEPYHIGHTENSIONHTP</x:v>
      </x:c>
      <x:c r="E270" s="30" t="str">
        <x:v>0000252569046369</x:v>
      </x:c>
      <x:c r="F270" s="30" t="str">
        <x:v>13/09/25</x:v>
      </x:c>
      <x:c r="G270" s="42" t="n">
        <x:v>6060</x:v>
      </x:c>
      <x:c r="H270" s="42"/>
      <x:c r="I270" s="42" t="n">
        <x:v>127938.22</x:v>
      </x:c>
      <x:c r="J270" s="30" t="str">
        <x:v>Possible vendor / operating payment</x:v>
      </x:c>
      <x:c r="K270" s="30" t="str">
        <x:v>Operating</x:v>
      </x:c>
      <x:c r="L270" s="22" t="str">
        <x:v>Pending source matching</x:v>
      </x:c>
      <x:c r="M270" s="30" t="str">
        <x:v>None</x:v>
      </x:c>
      <x:c r="N270" s="47" t="str">
        <x:v>Sept2025.xlsx</x:v>
      </x:c>
    </x:row>
    <x:row r="271">
      <x:c r="A271" s="46" t="n">
        <x:v>45912</x:v>
      </x:c>
      <x:c r="B271" s="30" t="str">
        <x:v>Sep-25</x:v>
      </x:c>
      <x:c r="C271" s="30" t="str">
        <x:v>Debit</x:v>
      </x:c>
      <x:c r="D271" s="19" t="str">
        <x:v>5019383103327/SBIEPYHIGHTENSIONHTP</x:v>
      </x:c>
      <x:c r="E271" s="30" t="str">
        <x:v>0000252569046098</x:v>
      </x:c>
      <x:c r="F271" s="30" t="str">
        <x:v>13/09/25</x:v>
      </x:c>
      <x:c r="G271" s="42" t="n">
        <x:v>42840</x:v>
      </x:c>
      <x:c r="H271" s="42"/>
      <x:c r="I271" s="42" t="n">
        <x:v>85098.22</x:v>
      </x:c>
      <x:c r="J271" s="30" t="str">
        <x:v>Possible vendor / operating payment</x:v>
      </x:c>
      <x:c r="K271" s="30" t="str">
        <x:v>Operating</x:v>
      </x:c>
      <x:c r="L271" s="22" t="str">
        <x:v>Pending source matching</x:v>
      </x:c>
      <x:c r="M271" s="30" t="str">
        <x:v>None</x:v>
      </x:c>
      <x:c r="N271" s="47" t="str">
        <x:v>Sept2025.xlsx</x:v>
      </x:c>
    </x:row>
    <x:row r="272">
      <x:c r="A272" s="46" t="n">
        <x:v>45912</x:v>
      </x:c>
      <x:c r="B272" s="30" t="str">
        <x:v>Sep-25</x:v>
      </x:c>
      <x:c r="C272" s="30" t="str">
        <x:v>Debit</x:v>
      </x:c>
      <x:c r="D272" s="19" t="str">
        <x:v>5864592516833/SBIEPYHIGHTENSIONHTP</x:v>
      </x:c>
      <x:c r="E272" s="30" t="str">
        <x:v>0000252569047837</x:v>
      </x:c>
      <x:c r="F272" s="30" t="str">
        <x:v>13/09/25</x:v>
      </x:c>
      <x:c r="G272" s="42" t="n">
        <x:v>1690</x:v>
      </x:c>
      <x:c r="H272" s="42"/>
      <x:c r="I272" s="42" t="n">
        <x:v>83408.22</x:v>
      </x:c>
      <x:c r="J272" s="30" t="str">
        <x:v>Possible vendor / operating payment</x:v>
      </x:c>
      <x:c r="K272" s="30" t="str">
        <x:v>Operating</x:v>
      </x:c>
      <x:c r="L272" s="22" t="str">
        <x:v>Pending source matching</x:v>
      </x:c>
      <x:c r="M272" s="30" t="str">
        <x:v>None</x:v>
      </x:c>
      <x:c r="N272" s="47" t="str">
        <x:v>Sept2025.xlsx</x:v>
      </x:c>
    </x:row>
    <x:row r="273">
      <x:c r="A273" s="46" t="n">
        <x:v>45913</x:v>
      </x:c>
      <x:c r="B273" s="30" t="str">
        <x:v>Sep-25</x:v>
      </x:c>
      <x:c r="C273" s="30" t="str">
        <x:v>Credit</x:v>
      </x:c>
      <x:c r="D273" s="19" t="str">
        <x:v>UPI SETTLEMENT -DKB258- 14/09/25</x:v>
      </x:c>
      <x:c r="E273" s="30" t="str">
        <x:v>000000000000000</x:v>
      </x:c>
      <x:c r="F273" s="30" t="str">
        <x:v>14/09/25</x:v>
      </x:c>
      <x:c r="G273" s="42"/>
      <x:c r="H273" s="42" t="n">
        <x:v>8000</x:v>
      </x:c>
      <x:c r="I273" s="42" t="n">
        <x:v>91408.22</x:v>
      </x:c>
      <x:c r="J273" s="30" t="str">
        <x:v>Possible collection</x:v>
      </x:c>
      <x:c r="K273" s="30" t="str">
        <x:v>Operating</x:v>
      </x:c>
      <x:c r="L273" s="22" t="str">
        <x:v>Pending source matching</x:v>
      </x:c>
      <x:c r="M273" s="30" t="str">
        <x:v>None</x:v>
      </x:c>
      <x:c r="N273" s="47" t="str">
        <x:v>Sept2025.xlsx</x:v>
      </x:c>
    </x:row>
    <x:row r="274">
      <x:c r="A274" s="46" t="n">
        <x:v>45914</x:v>
      </x:c>
      <x:c r="B274" s="30" t="str">
        <x:v>Sep-25</x:v>
      </x:c>
      <x:c r="C274" s="30" t="str">
        <x:v>Debit</x:v>
      </x:c>
      <x:c r="D274" s="19" t="str">
        <x:v>CHQ PAID-MICR CTS-MU-MATSANS MULTI SERVI</x:v>
      </x:c>
      <x:c r="E274" s="30" t="str">
        <x:v>0000000000000822</x:v>
      </x:c>
      <x:c r="F274" s="30" t="str">
        <x:v>15/09/25</x:v>
      </x:c>
      <x:c r="G274" s="42" t="n">
        <x:v>13333</x:v>
      </x:c>
      <x:c r="H274" s="42"/>
      <x:c r="I274" s="42" t="n">
        <x:v>78075.22</x:v>
      </x:c>
      <x:c r="J274" s="30" t="str">
        <x:v>Possible vendor / operating payment</x:v>
      </x:c>
      <x:c r="K274" s="30" t="str">
        <x:v>Operating</x:v>
      </x:c>
      <x:c r="L274" s="22" t="str">
        <x:v>Pending source matching</x:v>
      </x:c>
      <x:c r="M274" s="30" t="str">
        <x:v>None</x:v>
      </x:c>
      <x:c r="N274" s="47" t="str">
        <x:v>Sept2025.xlsx</x:v>
      </x:c>
    </x:row>
    <x:row r="275">
      <x:c r="A275" s="46" t="n">
        <x:v>45915</x:v>
      </x:c>
      <x:c r="B275" s="30" t="str">
        <x:v>Sep-25</x:v>
      </x:c>
      <x:c r="C275" s="30" t="str">
        <x:v>Credit</x:v>
      </x:c>
      <x:c r="D275" s="19" t="str">
        <x:v>UPI SETTLEMENT -DKB258- 16/09/25</x:v>
      </x:c>
      <x:c r="E275" s="30" t="str">
        <x:v>000000000000000</x:v>
      </x:c>
      <x:c r="F275" s="30" t="str">
        <x:v>16/09/25</x:v>
      </x:c>
      <x:c r="G275" s="42"/>
      <x:c r="H275" s="42" t="n">
        <x:v>2000</x:v>
      </x:c>
      <x:c r="I275" s="42" t="n">
        <x:v>80075.22</x:v>
      </x:c>
      <x:c r="J275" s="30" t="str">
        <x:v>Possible collection</x:v>
      </x:c>
      <x:c r="K275" s="30" t="str">
        <x:v>Operating</x:v>
      </x:c>
      <x:c r="L275" s="22" t="str">
        <x:v>Pending source matching</x:v>
      </x:c>
      <x:c r="M275" s="30" t="str">
        <x:v>None</x:v>
      </x:c>
      <x:c r="N275" s="47" t="str">
        <x:v>Sept2025.xlsx</x:v>
      </x:c>
    </x:row>
    <x:row r="276">
      <x:c r="A276" s="46" t="n">
        <x:v>45916</x:v>
      </x:c>
      <x:c r="B276" s="30" t="str">
        <x:v>Sep-25</x:v>
      </x:c>
      <x:c r="C276" s="30" t="str">
        <x:v>Debit</x:v>
      </x:c>
      <x:c r="D276" s="19" t="str">
        <x:v>SELF - CHQ PAID - PASHAN - PUN</x:v>
      </x:c>
      <x:c r="E276" s="30" t="str">
        <x:v>0000000000000825</x:v>
      </x:c>
      <x:c r="F276" s="30" t="str">
        <x:v>17/09/25</x:v>
      </x:c>
      <x:c r="G276" s="42" t="n">
        <x:v>16000</x:v>
      </x:c>
      <x:c r="H276" s="42"/>
      <x:c r="I276" s="42" t="n">
        <x:v>64075.22</x:v>
      </x:c>
      <x:c r="J276" s="30" t="str">
        <x:v>Possible vendor / operating payment</x:v>
      </x:c>
      <x:c r="K276" s="30" t="str">
        <x:v>Operating</x:v>
      </x:c>
      <x:c r="L276" s="22" t="str">
        <x:v>Pending source matching</x:v>
      </x:c>
      <x:c r="M276" s="30" t="str">
        <x:v>None</x:v>
      </x:c>
      <x:c r="N276" s="47" t="str">
        <x:v>Sept2025.xlsx</x:v>
      </x:c>
    </x:row>
    <x:row r="277">
      <x:c r="A277" s="46" t="n">
        <x:v>45918</x:v>
      </x:c>
      <x:c r="B277" s="30" t="str">
        <x:v>Sep-25</x:v>
      </x:c>
      <x:c r="C277" s="30" t="str">
        <x:v>Credit</x:v>
      </x:c>
      <x:c r="D277" s="19" t="str">
        <x:v>NEFT CR-ICIC0SF0002-VIVISH TECHNOLOGIES PRIVATE LIMITED-MONTVERTBIARRITZCOOPHOUSINGSOCIETYLTD-ICICN42025091952168478</x:v>
      </x:c>
      <x:c r="E277" s="30" t="str">
        <x:v>ICICN42025091952168478</x:v>
      </x:c>
      <x:c r="F277" s="30" t="str">
        <x:v>19/09/25</x:v>
      </x:c>
      <x:c r="G277" s="42"/>
      <x:c r="H277" s="42" t="n">
        <x:v>2000</x:v>
      </x:c>
      <x:c r="I277" s="42" t="n">
        <x:v>66075.22</x:v>
      </x:c>
      <x:c r="J277" s="30" t="str">
        <x:v>Possible collection</x:v>
      </x:c>
      <x:c r="K277" s="30" t="str">
        <x:v>Operating</x:v>
      </x:c>
      <x:c r="L277" s="22" t="str">
        <x:v>Pending source matching</x:v>
      </x:c>
      <x:c r="M277" s="30" t="str">
        <x:v>None</x:v>
      </x:c>
      <x:c r="N277" s="47" t="str">
        <x:v>Sept2025.xlsx</x:v>
      </x:c>
    </x:row>
    <x:row r="278">
      <x:c r="A278" s="46" t="n">
        <x:v>45926</x:v>
      </x:c>
      <x:c r="B278" s="30" t="str">
        <x:v>Sep-25</x:v>
      </x:c>
      <x:c r="C278" s="30" t="str">
        <x:v>Credit</x:v>
      </x:c>
      <x:c r="D278" s="19" t="str">
        <x:v>INTEREST CREDIT 50301157693611</x:v>
      </x:c>
      <x:c r="E278" s="30" t="str">
        <x:v>3304220250927776</x:v>
      </x:c>
      <x:c r="F278" s="30" t="str">
        <x:v>27/09/25</x:v>
      </x:c>
      <x:c r="G278" s="42"/>
      <x:c r="H278" s="42" t="n">
        <x:v>3452</x:v>
      </x:c>
      <x:c r="I278" s="42" t="n">
        <x:v>69527.22</x:v>
      </x:c>
      <x:c r="J278" s="30" t="str">
        <x:v>Interest income</x:v>
      </x:c>
      <x:c r="K278" s="30" t="str">
        <x:v>Investment</x:v>
      </x:c>
      <x:c r="L278" s="22" t="str">
        <x:v>Pending source matching</x:v>
      </x:c>
      <x:c r="M278" s="30" t="str">
        <x:v>None</x:v>
      </x:c>
      <x:c r="N278" s="47" t="str">
        <x:v>Sept2025.xlsx</x:v>
      </x:c>
    </x:row>
    <x:row r="279">
      <x:c r="A279" s="46" t="n">
        <x:v>45926</x:v>
      </x:c>
      <x:c r="B279" s="30" t="str">
        <x:v>Sep-25</x:v>
      </x:c>
      <x:c r="C279" s="30" t="str">
        <x:v>Credit</x:v>
      </x:c>
      <x:c r="D279" s="19" t="str">
        <x:v>PRIN AND INT AUTO_REDEEM 50301157693611</x:v>
      </x:c>
      <x:c r="E279" s="30" t="str">
        <x:v>3304220250927806</x:v>
      </x:c>
      <x:c r="F279" s="30" t="str">
        <x:v>27/09/25</x:v>
      </x:c>
      <x:c r="G279" s="42"/>
      <x:c r="H279" s="42" t="n">
        <x:v>200000</x:v>
      </x:c>
      <x:c r="I279" s="42" t="n">
        <x:v>269527.22</x:v>
      </x:c>
      <x:c r="J279" s="30" t="str">
        <x:v>FD maturity / redemption</x:v>
      </x:c>
      <x:c r="K279" s="30" t="str">
        <x:v>Investment</x:v>
      </x:c>
      <x:c r="L279" s="22" t="str">
        <x:v>Pending source matching</x:v>
      </x:c>
      <x:c r="M279" s="30" t="str">
        <x:v>None</x:v>
      </x:c>
      <x:c r="N279" s="47" t="str">
        <x:v>Sept2025.xlsx</x:v>
      </x:c>
    </x:row>
    <x:row r="280">
      <x:c r="A280" s="46" t="n">
        <x:v>45933</x:v>
      </x:c>
      <x:c r="B280" s="30" t="str">
        <x:v>Oct-25</x:v>
      </x:c>
      <x:c r="C280" s="30" t="str">
        <x:v>Credit</x:v>
      </x:c>
      <x:c r="D280" s="19" t="str">
        <x:v>IMPS-527709153899-HARSHAD SURESH DIXIT-ICIC-XXXXXXXX0509-INVOIEC 1781</x:v>
      </x:c>
      <x:c r="E280" s="30" t="str">
        <x:v>0000527709153899</x:v>
      </x:c>
      <x:c r="F280" s="30" t="str">
        <x:v>04/10/25</x:v>
      </x:c>
      <x:c r="G280" s="42"/>
      <x:c r="H280" s="42" t="n">
        <x:v>32000</x:v>
      </x:c>
      <x:c r="I280" s="42" t="n">
        <x:v>301527.22</x:v>
      </x:c>
      <x:c r="J280" s="30" t="str">
        <x:v>Possible collection</x:v>
      </x:c>
      <x:c r="K280" s="30" t="str">
        <x:v>Operating</x:v>
      </x:c>
      <x:c r="L280" s="22" t="str">
        <x:v>Pending source matching</x:v>
      </x:c>
      <x:c r="M280" s="30" t="str">
        <x:v>None</x:v>
      </x:c>
      <x:c r="N280" s="47" t="str">
        <x:v>Oct2025.xlsx</x:v>
      </x:c>
    </x:row>
    <x:row r="281">
      <x:c r="A281" s="46" t="n">
        <x:v>45933</x:v>
      </x:c>
      <x:c r="B281" s="30" t="str">
        <x:v>Oct-25</x:v>
      </x:c>
      <x:c r="C281" s="30" t="str">
        <x:v>Credit</x:v>
      </x:c>
      <x:c r="D281" s="19" t="str">
        <x:v>NEFT CR-ICIC0SF0002-VIVISH TECHNOLOGIES PRIVATE LIMITED-MONTVERTBIARRITZCOOPHOUSINGSOCIETYLTD-ICICN42025100453616080</x:v>
      </x:c>
      <x:c r="E281" s="30" t="str">
        <x:v>ICICN42025100453616080</x:v>
      </x:c>
      <x:c r="F281" s="30" t="str">
        <x:v>04/10/25</x:v>
      </x:c>
      <x:c r="G281" s="42"/>
      <x:c r="H281" s="42" t="n">
        <x:v>32000</x:v>
      </x:c>
      <x:c r="I281" s="42" t="n">
        <x:v>333527.22</x:v>
      </x:c>
      <x:c r="J281" s="30" t="str">
        <x:v>Possible collection</x:v>
      </x:c>
      <x:c r="K281" s="30" t="str">
        <x:v>Operating</x:v>
      </x:c>
      <x:c r="L281" s="22" t="str">
        <x:v>Pending source matching</x:v>
      </x:c>
      <x:c r="M281" s="30" t="str">
        <x:v>None</x:v>
      </x:c>
      <x:c r="N281" s="47" t="str">
        <x:v>Oct2025.xlsx</x:v>
      </x:c>
    </x:row>
    <x:row r="282">
      <x:c r="A282" s="46" t="n">
        <x:v>45933</x:v>
      </x:c>
      <x:c r="B282" s="30" t="str">
        <x:v>Oct-25</x:v>
      </x:c>
      <x:c r="C282" s="30" t="str">
        <x:v>Credit</x:v>
      </x:c>
      <x:c r="D282" s="19" t="str">
        <x:v>NEFT CR-ICIC0SF0002-VIVISH TECHNOLOGIES PRIVATE LIMITED-MONTVERTBIARRITZCOOPHOUSINGSOCIETYLTD-ICICN42025100453991313</x:v>
      </x:c>
      <x:c r="E282" s="30" t="str">
        <x:v>ICICN42025100453991313</x:v>
      </x:c>
      <x:c r="F282" s="30" t="str">
        <x:v>04/10/25</x:v>
      </x:c>
      <x:c r="G282" s="42"/>
      <x:c r="H282" s="42" t="n">
        <x:v>32000</x:v>
      </x:c>
      <x:c r="I282" s="42" t="n">
        <x:v>365527.22</x:v>
      </x:c>
      <x:c r="J282" s="30" t="str">
        <x:v>Possible collection</x:v>
      </x:c>
      <x:c r="K282" s="30" t="str">
        <x:v>Operating</x:v>
      </x:c>
      <x:c r="L282" s="22" t="str">
        <x:v>Pending source matching</x:v>
      </x:c>
      <x:c r="M282" s="30" t="str">
        <x:v>None</x:v>
      </x:c>
      <x:c r="N282" s="47" t="str">
        <x:v>Oct2025.xlsx</x:v>
      </x:c>
    </x:row>
    <x:row r="283">
      <x:c r="A283" s="46" t="n">
        <x:v>45933</x:v>
      </x:c>
      <x:c r="B283" s="30" t="str">
        <x:v>Oct-25</x:v>
      </x:c>
      <x:c r="C283" s="30" t="str">
        <x:v>Credit</x:v>
      </x:c>
      <x:c r="D283" s="19" t="str">
        <x:v>NEFT CR-ICIC0SF0002-VIVISH TECHNOLOGIES PRIVATE LIMITED-MONTVERTBIARRITZCOOPHOUSINGSOCIETYLTD-ICICN42025100454009891</x:v>
      </x:c>
      <x:c r="E283" s="30" t="str">
        <x:v>ICICN42025100454009891</x:v>
      </x:c>
      <x:c r="F283" s="30" t="str">
        <x:v>04/10/25</x:v>
      </x:c>
      <x:c r="G283" s="42"/>
      <x:c r="H283" s="42" t="n">
        <x:v>30000</x:v>
      </x:c>
      <x:c r="I283" s="42" t="n">
        <x:v>395527.22</x:v>
      </x:c>
      <x:c r="J283" s="30" t="str">
        <x:v>Possible collection</x:v>
      </x:c>
      <x:c r="K283" s="30" t="str">
        <x:v>Operating</x:v>
      </x:c>
      <x:c r="L283" s="22" t="str">
        <x:v>Pending source matching</x:v>
      </x:c>
      <x:c r="M283" s="30" t="str">
        <x:v>None</x:v>
      </x:c>
      <x:c r="N283" s="47" t="str">
        <x:v>Oct2025.xlsx</x:v>
      </x:c>
    </x:row>
    <x:row r="284">
      <x:c r="A284" s="46" t="n">
        <x:v>45935</x:v>
      </x:c>
      <x:c r="B284" s="30" t="str">
        <x:v>Oct-25</x:v>
      </x:c>
      <x:c r="C284" s="30" t="str">
        <x:v>Debit</x:v>
      </x:c>
      <x:c r="D284" s="19" t="str">
        <x:v>BHAGWAT G FASAGE - CHQ PAID - PASHAN - PUN</x:v>
      </x:c>
      <x:c r="E284" s="30" t="str">
        <x:v>0000000000000831</x:v>
      </x:c>
      <x:c r="F284" s="30" t="str">
        <x:v>06/10/25</x:v>
      </x:c>
      <x:c r="G284" s="42" t="n">
        <x:v>4500</x:v>
      </x:c>
      <x:c r="H284" s="42"/>
      <x:c r="I284" s="42" t="n">
        <x:v>391027.22</x:v>
      </x:c>
      <x:c r="J284" s="30" t="str">
        <x:v>Possible vendor / operating payment</x:v>
      </x:c>
      <x:c r="K284" s="30" t="str">
        <x:v>Operating</x:v>
      </x:c>
      <x:c r="L284" s="22" t="str">
        <x:v>Pending source matching</x:v>
      </x:c>
      <x:c r="M284" s="30" t="str">
        <x:v>None</x:v>
      </x:c>
      <x:c r="N284" s="47" t="str">
        <x:v>Oct2025.xlsx</x:v>
      </x:c>
    </x:row>
    <x:row r="285">
      <x:c r="A285" s="46" t="n">
        <x:v>45935</x:v>
      </x:c>
      <x:c r="B285" s="30" t="str">
        <x:v>Oct-25</x:v>
      </x:c>
      <x:c r="C285" s="30" t="str">
        <x:v>Credit</x:v>
      </x:c>
      <x:c r="D285" s="19" t="str">
        <x:v>NEFT CR-ICIC0SF0002-VIVISH TECHNOLOGIES PRIVATE LIMITED-MONTVERTBIARRITZCOOPHOUSINGSOCIETYLTD-ICICN42025100659040286</x:v>
      </x:c>
      <x:c r="E285" s="30" t="str">
        <x:v>ICICN42025100659040286</x:v>
      </x:c>
      <x:c r="F285" s="30" t="str">
        <x:v>06/10/25</x:v>
      </x:c>
      <x:c r="G285" s="42"/>
      <x:c r="H285" s="42" t="n">
        <x:v>400</x:v>
      </x:c>
      <x:c r="I285" s="42" t="n">
        <x:v>391427.22</x:v>
      </x:c>
      <x:c r="J285" s="30" t="str">
        <x:v>Possible collection</x:v>
      </x:c>
      <x:c r="K285" s="30" t="str">
        <x:v>Operating</x:v>
      </x:c>
      <x:c r="L285" s="22" t="str">
        <x:v>Pending source matching</x:v>
      </x:c>
      <x:c r="M285" s="30" t="str">
        <x:v>None</x:v>
      </x:c>
      <x:c r="N285" s="47" t="str">
        <x:v>Oct2025.xlsx</x:v>
      </x:c>
    </x:row>
    <x:row r="286">
      <x:c r="A286" s="46" t="n">
        <x:v>45935</x:v>
      </x:c>
      <x:c r="B286" s="30" t="str">
        <x:v>Oct-25</x:v>
      </x:c>
      <x:c r="C286" s="30" t="str">
        <x:v>Credit</x:v>
      </x:c>
      <x:c r="D286" s="19" t="str">
        <x:v>NEFT CR-ICIC0SF0002-VIVISH TECHNOLOGIES PRIVATE LIMITED-MONTVERTBIARRITZCOOPHOUSINGSOCIETYLTD-ICICN42025100659457286</x:v>
      </x:c>
      <x:c r="E286" s="30" t="str">
        <x:v>ICICN42025100659457286</x:v>
      </x:c>
      <x:c r="F286" s="30" t="str">
        <x:v>06/10/25</x:v>
      </x:c>
      <x:c r="G286" s="42"/>
      <x:c r="H286" s="42" t="n">
        <x:v>400</x:v>
      </x:c>
      <x:c r="I286" s="42" t="n">
        <x:v>391827.22</x:v>
      </x:c>
      <x:c r="J286" s="30" t="str">
        <x:v>Possible collection</x:v>
      </x:c>
      <x:c r="K286" s="30" t="str">
        <x:v>Operating</x:v>
      </x:c>
      <x:c r="L286" s="22" t="str">
        <x:v>Pending source matching</x:v>
      </x:c>
      <x:c r="M286" s="30" t="str">
        <x:v>None</x:v>
      </x:c>
      <x:c r="N286" s="47" t="str">
        <x:v>Oct2025.xlsx</x:v>
      </x:c>
    </x:row>
    <x:row r="287">
      <x:c r="A287" s="46" t="n">
        <x:v>45935</x:v>
      </x:c>
      <x:c r="B287" s="30" t="str">
        <x:v>Oct-25</x:v>
      </x:c>
      <x:c r="C287" s="30" t="str">
        <x:v>Credit</x:v>
      </x:c>
      <x:c r="D287" s="19" t="str">
        <x:v>NEFT CR-ICIC0SF0002-VIVISH TECHNOLOGIES PRIVATE LIMITED-MONTVERTBIARRITZCOOPHOUSINGSOCIETYLTD-ICICN42025100659489079</x:v>
      </x:c>
      <x:c r="E287" s="30" t="str">
        <x:v>ICICN42025100659489079</x:v>
      </x:c>
      <x:c r="F287" s="30" t="str">
        <x:v>06/10/25</x:v>
      </x:c>
      <x:c r="G287" s="42"/>
      <x:c r="H287" s="42" t="n">
        <x:v>400</x:v>
      </x:c>
      <x:c r="I287" s="42" t="n">
        <x:v>392227.22</x:v>
      </x:c>
      <x:c r="J287" s="30" t="str">
        <x:v>Possible collection</x:v>
      </x:c>
      <x:c r="K287" s="30" t="str">
        <x:v>Operating</x:v>
      </x:c>
      <x:c r="L287" s="22" t="str">
        <x:v>Pending source matching</x:v>
      </x:c>
      <x:c r="M287" s="30" t="str">
        <x:v>None</x:v>
      </x:c>
      <x:c r="N287" s="47" t="str">
        <x:v>Oct2025.xlsx</x:v>
      </x:c>
    </x:row>
    <x:row r="288">
      <x:c r="A288" s="46" t="n">
        <x:v>45935</x:v>
      </x:c>
      <x:c r="B288" s="30" t="str">
        <x:v>Oct-25</x:v>
      </x:c>
      <x:c r="C288" s="30" t="str">
        <x:v>Credit</x:v>
      </x:c>
      <x:c r="D288" s="19" t="str">
        <x:v>NEFT CR-ICIC0SF0002-VIVISH TECHNOLOGIES PRIVATE LIMITED-MONTVERTBIARRITZCOOPHOUSINGSOCIETYLTD-ICICN42025100659637947</x:v>
      </x:c>
      <x:c r="E288" s="30" t="str">
        <x:v>ICICN42025100659637947</x:v>
      </x:c>
      <x:c r="F288" s="30" t="str">
        <x:v>06/10/25</x:v>
      </x:c>
      <x:c r="G288" s="42"/>
      <x:c r="H288" s="42" t="n">
        <x:v>32400</x:v>
      </x:c>
      <x:c r="I288" s="42" t="n">
        <x:v>424627.22</x:v>
      </x:c>
      <x:c r="J288" s="30" t="str">
        <x:v>Possible collection</x:v>
      </x:c>
      <x:c r="K288" s="30" t="str">
        <x:v>Operating</x:v>
      </x:c>
      <x:c r="L288" s="22" t="str">
        <x:v>Pending source matching</x:v>
      </x:c>
      <x:c r="M288" s="30" t="str">
        <x:v>None</x:v>
      </x:c>
      <x:c r="N288" s="47" t="str">
        <x:v>Oct2025.xlsx</x:v>
      </x:c>
    </x:row>
    <x:row r="289">
      <x:c r="A289" s="46" t="n">
        <x:v>45935</x:v>
      </x:c>
      <x:c r="B289" s="30" t="str">
        <x:v>Oct-25</x:v>
      </x:c>
      <x:c r="C289" s="30" t="str">
        <x:v>Credit</x:v>
      </x:c>
      <x:c r="D289" s="19" t="str">
        <x:v>NEFT CR-ICIC0SF0002-VIVISH TECHNOLOGIES PRIVATE LIMITED-MONTVERTBIARRITZCOOPHOUSINGSOCIETYLTD-ICICN42025100659672193</x:v>
      </x:c>
      <x:c r="E289" s="30" t="str">
        <x:v>ICICN42025100659672193</x:v>
      </x:c>
      <x:c r="F289" s="30" t="str">
        <x:v>06/10/25</x:v>
      </x:c>
      <x:c r="G289" s="42"/>
      <x:c r="H289" s="42" t="n">
        <x:v>30000</x:v>
      </x:c>
      <x:c r="I289" s="42" t="n">
        <x:v>454627.22</x:v>
      </x:c>
      <x:c r="J289" s="30" t="str">
        <x:v>Possible collection</x:v>
      </x:c>
      <x:c r="K289" s="30" t="str">
        <x:v>Operating</x:v>
      </x:c>
      <x:c r="L289" s="22" t="str">
        <x:v>Pending source matching</x:v>
      </x:c>
      <x:c r="M289" s="30" t="str">
        <x:v>None</x:v>
      </x:c>
      <x:c r="N289" s="47" t="str">
        <x:v>Oct2025.xlsx</x:v>
      </x:c>
    </x:row>
    <x:row r="290">
      <x:c r="A290" s="46" t="n">
        <x:v>45935</x:v>
      </x:c>
      <x:c r="B290" s="30" t="str">
        <x:v>Oct-25</x:v>
      </x:c>
      <x:c r="C290" s="30" t="str">
        <x:v>Credit</x:v>
      </x:c>
      <x:c r="D290" s="19" t="str">
        <x:v>NEFT CR-ICIC0SF0002-VIVISH TECHNOLOGIES PRIVATE LIMITED-MONTVERTBIARRITZCOOPHOUSINGSOCIETYLTD-ICICN42025100659675105</x:v>
      </x:c>
      <x:c r="E290" s="30" t="str">
        <x:v>ICICN42025100659675105</x:v>
      </x:c>
      <x:c r="F290" s="30" t="str">
        <x:v>06/10/25</x:v>
      </x:c>
      <x:c r="G290" s="42"/>
      <x:c r="H290" s="42" t="n">
        <x:v>30000</x:v>
      </x:c>
      <x:c r="I290" s="42" t="n">
        <x:v>484627.22</x:v>
      </x:c>
      <x:c r="J290" s="30" t="str">
        <x:v>Possible collection</x:v>
      </x:c>
      <x:c r="K290" s="30" t="str">
        <x:v>Operating</x:v>
      </x:c>
      <x:c r="L290" s="22" t="str">
        <x:v>Pending source matching</x:v>
      </x:c>
      <x:c r="M290" s="30" t="str">
        <x:v>None</x:v>
      </x:c>
      <x:c r="N290" s="47" t="str">
        <x:v>Oct2025.xlsx</x:v>
      </x:c>
    </x:row>
    <x:row r="291">
      <x:c r="A291" s="46" t="n">
        <x:v>45935</x:v>
      </x:c>
      <x:c r="B291" s="30" t="str">
        <x:v>Oct-25</x:v>
      </x:c>
      <x:c r="C291" s="30" t="str">
        <x:v>Credit</x:v>
      </x:c>
      <x:c r="D291" s="19" t="str">
        <x:v>NEFT CR-ICIC0SF0002-VIVISH TECHNOLOGIES PRIVATE LIMITED-MONTVERTBIARRITZCOOPHOUSINGSOCIETYLTD-ICICN42025100659703432</x:v>
      </x:c>
      <x:c r="E291" s="30" t="str">
        <x:v>ICICN42025100659703432</x:v>
      </x:c>
      <x:c r="F291" s="30" t="str">
        <x:v>06/10/25</x:v>
      </x:c>
      <x:c r="G291" s="42"/>
      <x:c r="H291" s="42" t="n">
        <x:v>32000</x:v>
      </x:c>
      <x:c r="I291" s="42" t="n">
        <x:v>516627.22</x:v>
      </x:c>
      <x:c r="J291" s="30" t="str">
        <x:v>Possible collection</x:v>
      </x:c>
      <x:c r="K291" s="30" t="str">
        <x:v>Operating</x:v>
      </x:c>
      <x:c r="L291" s="22" t="str">
        <x:v>Pending source matching</x:v>
      </x:c>
      <x:c r="M291" s="30" t="str">
        <x:v>None</x:v>
      </x:c>
      <x:c r="N291" s="47" t="str">
        <x:v>Oct2025.xlsx</x:v>
      </x:c>
    </x:row>
    <x:row r="292">
      <x:c r="A292" s="46" t="n">
        <x:v>45936</x:v>
      </x:c>
      <x:c r="B292" s="30" t="str">
        <x:v>Oct-25</x:v>
      </x:c>
      <x:c r="C292" s="30" t="str">
        <x:v>Credit</x:v>
      </x:c>
      <x:c r="D292" s="19" t="str">
        <x:v>NEFT CR-ICIC0SF0002-VIVISH TECHNOLOGIES PRIVATE LIMITED-MONTVERTBIARRITZCOOPHOUSINGSOCIETYLTD-ICICN42025100759723278</x:v>
      </x:c>
      <x:c r="E292" s="30" t="str">
        <x:v>ICICN42025100759723278</x:v>
      </x:c>
      <x:c r="F292" s="30" t="str">
        <x:v>07/10/25</x:v>
      </x:c>
      <x:c r="G292" s="42"/>
      <x:c r="H292" s="42" t="n">
        <x:v>32400</x:v>
      </x:c>
      <x:c r="I292" s="42" t="n">
        <x:v>549027.22</x:v>
      </x:c>
      <x:c r="J292" s="30" t="str">
        <x:v>Possible collection</x:v>
      </x:c>
      <x:c r="K292" s="30" t="str">
        <x:v>Operating</x:v>
      </x:c>
      <x:c r="L292" s="22" t="str">
        <x:v>Pending source matching</x:v>
      </x:c>
      <x:c r="M292" s="30" t="str">
        <x:v>None</x:v>
      </x:c>
      <x:c r="N292" s="47" t="str">
        <x:v>Oct2025.xlsx</x:v>
      </x:c>
    </x:row>
    <x:row r="293">
      <x:c r="A293" s="46" t="n">
        <x:v>45936</x:v>
      </x:c>
      <x:c r="B293" s="30" t="str">
        <x:v>Oct-25</x:v>
      </x:c>
      <x:c r="C293" s="30" t="str">
        <x:v>Credit</x:v>
      </x:c>
      <x:c r="D293" s="19" t="str">
        <x:v>NEFT CR-ICIC0SF0002-VIVISH TECHNOLOGIES PRIVATE LIMITED-MONTVERTBIARRITZCOOPHOUSINGSOCIETYLTD-ICICN42025100759794608</x:v>
      </x:c>
      <x:c r="E293" s="30" t="str">
        <x:v>ICICN42025100759794608</x:v>
      </x:c>
      <x:c r="F293" s="30" t="str">
        <x:v>07/10/25</x:v>
      </x:c>
      <x:c r="G293" s="42"/>
      <x:c r="H293" s="42" t="n">
        <x:v>32400</x:v>
      </x:c>
      <x:c r="I293" s="42" t="n">
        <x:v>581427.22</x:v>
      </x:c>
      <x:c r="J293" s="30" t="str">
        <x:v>Possible collection</x:v>
      </x:c>
      <x:c r="K293" s="30" t="str">
        <x:v>Operating</x:v>
      </x:c>
      <x:c r="L293" s="22" t="str">
        <x:v>Pending source matching</x:v>
      </x:c>
      <x:c r="M293" s="30" t="str">
        <x:v>None</x:v>
      </x:c>
      <x:c r="N293" s="47" t="str">
        <x:v>Oct2025.xlsx</x:v>
      </x:c>
    </x:row>
    <x:row r="294">
      <x:c r="A294" s="46" t="n">
        <x:v>45936</x:v>
      </x:c>
      <x:c r="B294" s="30" t="str">
        <x:v>Oct-25</x:v>
      </x:c>
      <x:c r="C294" s="30" t="str">
        <x:v>Credit</x:v>
      </x:c>
      <x:c r="D294" s="19" t="str">
        <x:v>NEFT CR-ICIC0SF0002-VIVISH TECHNOLOGIES PRIVATE LIMITED-MONTVERTBIARRITZCOOPHOUSINGSOCIETYLTD-ICICN42025100750255075</x:v>
      </x:c>
      <x:c r="E294" s="30" t="str">
        <x:v>ICICN42025100750255075</x:v>
      </x:c>
      <x:c r="F294" s="30" t="str">
        <x:v>07/10/25</x:v>
      </x:c>
      <x:c r="G294" s="42"/>
      <x:c r="H294" s="42" t="n">
        <x:v>32400</x:v>
      </x:c>
      <x:c r="I294" s="42" t="n">
        <x:v>613827.22</x:v>
      </x:c>
      <x:c r="J294" s="30" t="str">
        <x:v>Possible collection</x:v>
      </x:c>
      <x:c r="K294" s="30" t="str">
        <x:v>Operating</x:v>
      </x:c>
      <x:c r="L294" s="22" t="str">
        <x:v>Pending source matching</x:v>
      </x:c>
      <x:c r="M294" s="30" t="str">
        <x:v>None</x:v>
      </x:c>
      <x:c r="N294" s="47" t="str">
        <x:v>Oct2025.xlsx</x:v>
      </x:c>
    </x:row>
    <x:row r="295">
      <x:c r="A295" s="46" t="n">
        <x:v>45936</x:v>
      </x:c>
      <x:c r="B295" s="30" t="str">
        <x:v>Oct-25</x:v>
      </x:c>
      <x:c r="C295" s="30" t="str">
        <x:v>Credit</x:v>
      </x:c>
      <x:c r="D295" s="19" t="str">
        <x:v>NEFT CR-ICIC0SF0002-VIVISH TECHNOLOGIES PRIVATE LIMITED-MONTVERTBIARRITZCOOPHOUSINGSOCIETYLTD-ICICN42025100750467508</x:v>
      </x:c>
      <x:c r="E295" s="30" t="str">
        <x:v>ICICN42025100750467508</x:v>
      </x:c>
      <x:c r="F295" s="30" t="str">
        <x:v>07/10/25</x:v>
      </x:c>
      <x:c r="G295" s="42"/>
      <x:c r="H295" s="42" t="n">
        <x:v>30000</x:v>
      </x:c>
      <x:c r="I295" s="42" t="n">
        <x:v>643827.22</x:v>
      </x:c>
      <x:c r="J295" s="30" t="str">
        <x:v>Possible collection</x:v>
      </x:c>
      <x:c r="K295" s="30" t="str">
        <x:v>Operating</x:v>
      </x:c>
      <x:c r="L295" s="22" t="str">
        <x:v>Pending source matching</x:v>
      </x:c>
      <x:c r="M295" s="30" t="str">
        <x:v>None</x:v>
      </x:c>
      <x:c r="N295" s="47" t="str">
        <x:v>Oct2025.xlsx</x:v>
      </x:c>
    </x:row>
    <x:row r="296">
      <x:c r="A296" s="46" t="n">
        <x:v>45936</x:v>
      </x:c>
      <x:c r="B296" s="30" t="str">
        <x:v>Oct-25</x:v>
      </x:c>
      <x:c r="C296" s="30" t="str">
        <x:v>Debit</x:v>
      </x:c>
      <x:c r="D296" s="19" t="str">
        <x:v>FD THROUGH NET-50301228184812:MONT VERT BIARRITZ CO OP HOUSING SOC LTD</x:v>
      </x:c>
      <x:c r="E296" s="30" t="str">
        <x:v>IB07180002442183</x:v>
      </x:c>
      <x:c r="F296" s="30" t="str">
        <x:v>07/10/25</x:v>
      </x:c>
      <x:c r="G296" s="42" t="n">
        <x:v>300000</x:v>
      </x:c>
      <x:c r="H296" s="42"/>
      <x:c r="I296" s="42" t="n">
        <x:v>343827.22</x:v>
      </x:c>
      <x:c r="J296" s="30" t="str">
        <x:v>FD investment</x:v>
      </x:c>
      <x:c r="K296" s="30" t="str">
        <x:v>Investment</x:v>
      </x:c>
      <x:c r="L296" s="22" t="str">
        <x:v>Pending source matching</x:v>
      </x:c>
      <x:c r="M296" s="30" t="str">
        <x:v>None</x:v>
      </x:c>
      <x:c r="N296" s="47" t="str">
        <x:v>Oct2025.xlsx</x:v>
      </x:c>
    </x:row>
    <x:row r="297">
      <x:c r="A297" s="46" t="n">
        <x:v>45937</x:v>
      </x:c>
      <x:c r="B297" s="30" t="str">
        <x:v>Oct-25</x:v>
      </x:c>
      <x:c r="C297" s="30" t="str">
        <x:v>Debit</x:v>
      </x:c>
      <x:c r="D297" s="19" t="str">
        <x:v>SELF - CHQ PAID - PASHAN - PUN</x:v>
      </x:c>
      <x:c r="E297" s="30" t="str">
        <x:v>0000000000000832</x:v>
      </x:c>
      <x:c r="F297" s="30" t="str">
        <x:v>08/10/25</x:v>
      </x:c>
      <x:c r="G297" s="42" t="n">
        <x:v>5880</x:v>
      </x:c>
      <x:c r="H297" s="42"/>
      <x:c r="I297" s="42" t="n">
        <x:v>337947.22</x:v>
      </x:c>
      <x:c r="J297" s="30" t="str">
        <x:v>Possible vendor / operating payment</x:v>
      </x:c>
      <x:c r="K297" s="30" t="str">
        <x:v>Operating</x:v>
      </x:c>
      <x:c r="L297" s="22" t="str">
        <x:v>Pending source matching</x:v>
      </x:c>
      <x:c r="M297" s="30" t="str">
        <x:v>None</x:v>
      </x:c>
      <x:c r="N297" s="47" t="str">
        <x:v>Oct2025.xlsx</x:v>
      </x:c>
    </x:row>
    <x:row r="298">
      <x:c r="A298" s="46" t="n">
        <x:v>45937</x:v>
      </x:c>
      <x:c r="B298" s="30" t="str">
        <x:v>Oct-25</x:v>
      </x:c>
      <x:c r="C298" s="30" t="str">
        <x:v>Debit</x:v>
      </x:c>
      <x:c r="D298" s="19" t="str">
        <x:v>CHQ PAID-CTS S2-MUMB-SHAURYA GROUP</x:v>
      </x:c>
      <x:c r="E298" s="30" t="str">
        <x:v>0000000000000826</x:v>
      </x:c>
      <x:c r="F298" s="30" t="str">
        <x:v>08/10/25</x:v>
      </x:c>
      <x:c r="G298" s="42" t="n">
        <x:v>57420</x:v>
      </x:c>
      <x:c r="H298" s="42"/>
      <x:c r="I298" s="42" t="n">
        <x:v>280527.22</x:v>
      </x:c>
      <x:c r="J298" s="30" t="str">
        <x:v>Possible vendor / operating payment</x:v>
      </x:c>
      <x:c r="K298" s="30" t="str">
        <x:v>Operating</x:v>
      </x:c>
      <x:c r="L298" s="22" t="str">
        <x:v>Pending source matching</x:v>
      </x:c>
      <x:c r="M298" s="30" t="str">
        <x:v>None</x:v>
      </x:c>
      <x:c r="N298" s="47" t="str">
        <x:v>Oct2025.xlsx</x:v>
      </x:c>
    </x:row>
    <x:row r="299">
      <x:c r="A299" s="46" t="n">
        <x:v>45937</x:v>
      </x:c>
      <x:c r="B299" s="30" t="str">
        <x:v>Oct-25</x:v>
      </x:c>
      <x:c r="C299" s="30" t="str">
        <x:v>Debit</x:v>
      </x:c>
      <x:c r="D299" s="19" t="str">
        <x:v>CHQ PAID-CTS S2-MUMB-DEEPAK B GAIKWAD</x:v>
      </x:c>
      <x:c r="E299" s="30" t="str">
        <x:v>0000000000000828</x:v>
      </x:c>
      <x:c r="F299" s="30" t="str">
        <x:v>08/10/25</x:v>
      </x:c>
      <x:c r="G299" s="42" t="n">
        <x:v>24500</x:v>
      </x:c>
      <x:c r="H299" s="42"/>
      <x:c r="I299" s="42" t="n">
        <x:v>256027.22</x:v>
      </x:c>
      <x:c r="J299" s="30" t="str">
        <x:v>Possible vendor / operating payment</x:v>
      </x:c>
      <x:c r="K299" s="30" t="str">
        <x:v>Operating</x:v>
      </x:c>
      <x:c r="L299" s="22" t="str">
        <x:v>Pending source matching</x:v>
      </x:c>
      <x:c r="M299" s="30" t="str">
        <x:v>None</x:v>
      </x:c>
      <x:c r="N299" s="47" t="str">
        <x:v>Oct2025.xlsx</x:v>
      </x:c>
    </x:row>
    <x:row r="300">
      <x:c r="A300" s="46" t="n">
        <x:v>45937</x:v>
      </x:c>
      <x:c r="B300" s="30" t="str">
        <x:v>Oct-25</x:v>
      </x:c>
      <x:c r="C300" s="30" t="str">
        <x:v>Debit</x:v>
      </x:c>
      <x:c r="D300" s="19" t="str">
        <x:v>CHQ PAID-CTS S2-MUMB-NETWORK SERVICES</x:v>
      </x:c>
      <x:c r="E300" s="30" t="str">
        <x:v>0000000000000827</x:v>
      </x:c>
      <x:c r="F300" s="30" t="str">
        <x:v>08/10/25</x:v>
      </x:c>
      <x:c r="G300" s="42" t="n">
        <x:v>53460</x:v>
      </x:c>
      <x:c r="H300" s="42"/>
      <x:c r="I300" s="42" t="n">
        <x:v>202567.22</x:v>
      </x:c>
      <x:c r="J300" s="30" t="str">
        <x:v>Possible vendor / operating payment</x:v>
      </x:c>
      <x:c r="K300" s="30" t="str">
        <x:v>Operating</x:v>
      </x:c>
      <x:c r="L300" s="22" t="str">
        <x:v>Pending source matching</x:v>
      </x:c>
      <x:c r="M300" s="30" t="str">
        <x:v>None</x:v>
      </x:c>
      <x:c r="N300" s="47" t="str">
        <x:v>Oct2025.xlsx</x:v>
      </x:c>
    </x:row>
    <x:row r="301">
      <x:c r="A301" s="46" t="n">
        <x:v>45937</x:v>
      </x:c>
      <x:c r="B301" s="30" t="str">
        <x:v>Oct-25</x:v>
      </x:c>
      <x:c r="C301" s="30" t="str">
        <x:v>Debit</x:v>
      </x:c>
      <x:c r="D301" s="19" t="str">
        <x:v>CHQ PAID-CTS S6-MUMB-MAHENDRA DAULATRAO</x:v>
      </x:c>
      <x:c r="E301" s="30" t="str">
        <x:v>0000000000000830</x:v>
      </x:c>
      <x:c r="F301" s="30" t="str">
        <x:v>08/10/25</x:v>
      </x:c>
      <x:c r="G301" s="42" t="n">
        <x:v>5000</x:v>
      </x:c>
      <x:c r="H301" s="42"/>
      <x:c r="I301" s="42" t="n">
        <x:v>197567.22</x:v>
      </x:c>
      <x:c r="J301" s="30" t="str">
        <x:v>Possible vendor / operating payment</x:v>
      </x:c>
      <x:c r="K301" s="30" t="str">
        <x:v>Operating</x:v>
      </x:c>
      <x:c r="L301" s="22" t="str">
        <x:v>Pending source matching</x:v>
      </x:c>
      <x:c r="M301" s="30" t="str">
        <x:v>None</x:v>
      </x:c>
      <x:c r="N301" s="47" t="str">
        <x:v>Oct2025.xlsx</x:v>
      </x:c>
    </x:row>
    <x:row r="302">
      <x:c r="A302" s="46" t="n">
        <x:v>45938</x:v>
      </x:c>
      <x:c r="B302" s="30" t="str">
        <x:v>Oct-25</x:v>
      </x:c>
      <x:c r="C302" s="30" t="str">
        <x:v>Credit</x:v>
      </x:c>
      <x:c r="D302" s="19" t="str">
        <x:v>I/W CHQ RET-JOINT SIGNATURE REQUIRED</x:v>
      </x:c>
      <x:c r="E302" s="30" t="str">
        <x:v>0000000000000830</x:v>
      </x:c>
      <x:c r="F302" s="30" t="str">
        <x:v>08/10/25</x:v>
      </x:c>
      <x:c r="G302" s="42"/>
      <x:c r="H302" s="42" t="n">
        <x:v>5000</x:v>
      </x:c>
      <x:c r="I302" s="42" t="n">
        <x:v>202567.22</x:v>
      </x:c>
      <x:c r="J302" s="30" t="str">
        <x:v>Other bank credit</x:v>
      </x:c>
      <x:c r="K302" s="30" t="str">
        <x:v>Other</x:v>
      </x:c>
      <x:c r="L302" s="22" t="str">
        <x:v>Pending source matching</x:v>
      </x:c>
      <x:c r="M302" s="30" t="str">
        <x:v>None</x:v>
      </x:c>
      <x:c r="N302" s="47" t="str">
        <x:v>Oct2025.xlsx</x:v>
      </x:c>
    </x:row>
    <x:row r="303">
      <x:c r="A303" s="46" t="n">
        <x:v>45938</x:v>
      </x:c>
      <x:c r="B303" s="30" t="str">
        <x:v>Oct-25</x:v>
      </x:c>
      <x:c r="C303" s="30" t="str">
        <x:v>Credit</x:v>
      </x:c>
      <x:c r="D303" s="19" t="str">
        <x:v>NEFT CR-ICIC0SF0002-VIVISH TECHNOLOGIES PRIVATE LIMITED-MONTVERTBIARRITZCOOPHOUSINGSOCIETYLTD-ICICN42025100952349156</x:v>
      </x:c>
      <x:c r="E303" s="30" t="str">
        <x:v>ICICN42025100952349156</x:v>
      </x:c>
      <x:c r="F303" s="30" t="str">
        <x:v>09/10/25</x:v>
      </x:c>
      <x:c r="G303" s="42"/>
      <x:c r="H303" s="42" t="n">
        <x:v>30000</x:v>
      </x:c>
      <x:c r="I303" s="42" t="n">
        <x:v>232567.22</x:v>
      </x:c>
      <x:c r="J303" s="30" t="str">
        <x:v>Possible collection</x:v>
      </x:c>
      <x:c r="K303" s="30" t="str">
        <x:v>Operating</x:v>
      </x:c>
      <x:c r="L303" s="22" t="str">
        <x:v>Pending source matching</x:v>
      </x:c>
      <x:c r="M303" s="30" t="str">
        <x:v>None</x:v>
      </x:c>
      <x:c r="N303" s="47" t="str">
        <x:v>Oct2025.xlsx</x:v>
      </x:c>
    </x:row>
    <x:row r="304">
      <x:c r="A304" s="46" t="n">
        <x:v>45938</x:v>
      </x:c>
      <x:c r="B304" s="30" t="str">
        <x:v>Oct-25</x:v>
      </x:c>
      <x:c r="C304" s="30" t="str">
        <x:v>Credit</x:v>
      </x:c>
      <x:c r="D304" s="19" t="str">
        <x:v>NEFT CR-ICIC0SF0002-VIVISH TECHNOLOGIES PRIVATE LIMITED-MONTVERTBIARRITZCOOPHOUSINGSOCIETYLTD-ICICN42025100952389644</x:v>
      </x:c>
      <x:c r="E304" s="30" t="str">
        <x:v>ICICN42025100952389644</x:v>
      </x:c>
      <x:c r="F304" s="30" t="str">
        <x:v>09/10/25</x:v>
      </x:c>
      <x:c r="G304" s="42"/>
      <x:c r="H304" s="42" t="n">
        <x:v>30000</x:v>
      </x:c>
      <x:c r="I304" s="42" t="n">
        <x:v>262567.22</x:v>
      </x:c>
      <x:c r="J304" s="30" t="str">
        <x:v>Possible collection</x:v>
      </x:c>
      <x:c r="K304" s="30" t="str">
        <x:v>Operating</x:v>
      </x:c>
      <x:c r="L304" s="22" t="str">
        <x:v>Pending source matching</x:v>
      </x:c>
      <x:c r="M304" s="30" t="str">
        <x:v>None</x:v>
      </x:c>
      <x:c r="N304" s="47" t="str">
        <x:v>Oct2025.xlsx</x:v>
      </x:c>
    </x:row>
    <x:row r="305">
      <x:c r="A305" s="46" t="n">
        <x:v>45939</x:v>
      </x:c>
      <x:c r="B305" s="30" t="str">
        <x:v>Oct-25</x:v>
      </x:c>
      <x:c r="C305" s="30" t="str">
        <x:v>Credit</x:v>
      </x:c>
      <x:c r="D305" s="19" t="str">
        <x:v>NEFT CR-ICIC0SF0002-VIVISH TECHNOLOGIES PRIVATE LIMITED-MONTVERTBIARRITZCOOPHOUSINGSOCIETYLTD-ICICN42025101053419620</x:v>
      </x:c>
      <x:c r="E305" s="30" t="str">
        <x:v>ICICN42025101053419620</x:v>
      </x:c>
      <x:c r="F305" s="30" t="str">
        <x:v>10/10/25</x:v>
      </x:c>
      <x:c r="G305" s="42"/>
      <x:c r="H305" s="42" t="n">
        <x:v>30000</x:v>
      </x:c>
      <x:c r="I305" s="42" t="n">
        <x:v>292567.22</x:v>
      </x:c>
      <x:c r="J305" s="30" t="str">
        <x:v>Possible collection</x:v>
      </x:c>
      <x:c r="K305" s="30" t="str">
        <x:v>Operating</x:v>
      </x:c>
      <x:c r="L305" s="22" t="str">
        <x:v>Pending source matching</x:v>
      </x:c>
      <x:c r="M305" s="30" t="str">
        <x:v>None</x:v>
      </x:c>
      <x:c r="N305" s="47" t="str">
        <x:v>Oct2025.xlsx</x:v>
      </x:c>
    </x:row>
    <x:row r="306">
      <x:c r="A306" s="46" t="n">
        <x:v>45940</x:v>
      </x:c>
      <x:c r="B306" s="30" t="str">
        <x:v>Oct-25</x:v>
      </x:c>
      <x:c r="C306" s="30" t="str">
        <x:v>Debit</x:v>
      </x:c>
      <x:c r="D306" s="19" t="str">
        <x:v>CBDT/BANK REFERENCE NO:K2528440845431/CIN NO:25101100020896HDFC/ONLINE</x:v>
      </x:c>
      <x:c r="E306" s="30" t="str">
        <x:v>0251011110006674</x:v>
      </x:c>
      <x:c r="F306" s="30" t="str">
        <x:v>11/10/25</x:v>
      </x:c>
      <x:c r="G306" s="42" t="n">
        <x:v>7515</x:v>
      </x:c>
      <x:c r="H306" s="42"/>
      <x:c r="I306" s="42" t="n">
        <x:v>285052.22</x:v>
      </x:c>
      <x:c r="J306" s="30" t="str">
        <x:v>Tax / statutory payment</x:v>
      </x:c>
      <x:c r="K306" s="30" t="str">
        <x:v>Operating</x:v>
      </x:c>
      <x:c r="L306" s="22" t="str">
        <x:v>Pending source matching</x:v>
      </x:c>
      <x:c r="M306" s="30" t="str">
        <x:v>None</x:v>
      </x:c>
      <x:c r="N306" s="47" t="str">
        <x:v>Oct2025.xlsx</x:v>
      </x:c>
    </x:row>
    <x:row r="307">
      <x:c r="A307" s="46" t="n">
        <x:v>45942</x:v>
      </x:c>
      <x:c r="B307" s="30" t="str">
        <x:v>Oct-25</x:v>
      </x:c>
      <x:c r="C307" s="30" t="str">
        <x:v>Credit</x:v>
      </x:c>
      <x:c r="D307" s="19" t="str">
        <x:v>NEFT CR-ICIC0SF0002-VIVISH TECHNOLOGIES PRIVATE LIMITED-MONTVERTBIARRITZCOOPHOUSINGSOCIETYLTD-ICICN42025101357826749</x:v>
      </x:c>
      <x:c r="E307" s="30" t="str">
        <x:v>ICICN42025101357826749</x:v>
      </x:c>
      <x:c r="F307" s="30" t="str">
        <x:v>13/10/25</x:v>
      </x:c>
      <x:c r="G307" s="42"/>
      <x:c r="H307" s="42" t="n">
        <x:v>32400</x:v>
      </x:c>
      <x:c r="I307" s="42" t="n">
        <x:v>317452.22</x:v>
      </x:c>
      <x:c r="J307" s="30" t="str">
        <x:v>Possible collection</x:v>
      </x:c>
      <x:c r="K307" s="30" t="str">
        <x:v>Operating</x:v>
      </x:c>
      <x:c r="L307" s="22" t="str">
        <x:v>Pending source matching</x:v>
      </x:c>
      <x:c r="M307" s="30" t="str">
        <x:v>None</x:v>
      </x:c>
      <x:c r="N307" s="47" t="str">
        <x:v>Oct2025.xlsx</x:v>
      </x:c>
    </x:row>
    <x:row r="308">
      <x:c r="A308" s="46" t="n">
        <x:v>45942</x:v>
      </x:c>
      <x:c r="B308" s="30" t="str">
        <x:v>Oct-25</x:v>
      </x:c>
      <x:c r="C308" s="30" t="str">
        <x:v>Debit</x:v>
      </x:c>
      <x:c r="D308" s="19" t="str">
        <x:v>4889631015735/SBIEPYHIGHTENSIONHTP</x:v>
      </x:c>
      <x:c r="E308" s="30" t="str">
        <x:v>0000252862256066</x:v>
      </x:c>
      <x:c r="F308" s="30" t="str">
        <x:v>13/10/25</x:v>
      </x:c>
      <x:c r="G308" s="42" t="n">
        <x:v>18910</x:v>
      </x:c>
      <x:c r="H308" s="42"/>
      <x:c r="I308" s="42" t="n">
        <x:v>298542.22</x:v>
      </x:c>
      <x:c r="J308" s="30" t="str">
        <x:v>Possible vendor / operating payment</x:v>
      </x:c>
      <x:c r="K308" s="30" t="str">
        <x:v>Operating</x:v>
      </x:c>
      <x:c r="L308" s="22" t="str">
        <x:v>Pending source matching</x:v>
      </x:c>
      <x:c r="M308" s="30" t="str">
        <x:v>None</x:v>
      </x:c>
      <x:c r="N308" s="47" t="str">
        <x:v>Oct2025.xlsx</x:v>
      </x:c>
    </x:row>
    <x:row r="309">
      <x:c r="A309" s="46" t="n">
        <x:v>45942</x:v>
      </x:c>
      <x:c r="B309" s="30" t="str">
        <x:v>Oct-25</x:v>
      </x:c>
      <x:c r="C309" s="30" t="str">
        <x:v>Debit</x:v>
      </x:c>
      <x:c r="D309" s="19" t="str">
        <x:v>3257305479133/SBIEPYHIGHTENSIONHTP</x:v>
      </x:c>
      <x:c r="E309" s="30" t="str">
        <x:v>0000252862256551</x:v>
      </x:c>
      <x:c r="F309" s="30" t="str">
        <x:v>13/10/25</x:v>
      </x:c>
      <x:c r="G309" s="42" t="n">
        <x:v>4240</x:v>
      </x:c>
      <x:c r="H309" s="42"/>
      <x:c r="I309" s="42" t="n">
        <x:v>294302.22</x:v>
      </x:c>
      <x:c r="J309" s="30" t="str">
        <x:v>Possible vendor / operating payment</x:v>
      </x:c>
      <x:c r="K309" s="30" t="str">
        <x:v>Operating</x:v>
      </x:c>
      <x:c r="L309" s="22" t="str">
        <x:v>Pending source matching</x:v>
      </x:c>
      <x:c r="M309" s="30" t="str">
        <x:v>None</x:v>
      </x:c>
      <x:c r="N309" s="47" t="str">
        <x:v>Oct2025.xlsx</x:v>
      </x:c>
    </x:row>
    <x:row r="310">
      <x:c r="A310" s="46" t="n">
        <x:v>45942</x:v>
      </x:c>
      <x:c r="B310" s="30" t="str">
        <x:v>Oct-25</x:v>
      </x:c>
      <x:c r="C310" s="30" t="str">
        <x:v>Debit</x:v>
      </x:c>
      <x:c r="D310" s="19" t="str">
        <x:v>7433755675033/SBIEPYHIGHTENSIONHTP</x:v>
      </x:c>
      <x:c r="E310" s="30" t="str">
        <x:v>0000252862256644</x:v>
      </x:c>
      <x:c r="F310" s="30" t="str">
        <x:v>13/10/25</x:v>
      </x:c>
      <x:c r="G310" s="42" t="n">
        <x:v>5970</x:v>
      </x:c>
      <x:c r="H310" s="42"/>
      <x:c r="I310" s="42" t="n">
        <x:v>288332.22</x:v>
      </x:c>
      <x:c r="J310" s="30" t="str">
        <x:v>Possible vendor / operating payment</x:v>
      </x:c>
      <x:c r="K310" s="30" t="str">
        <x:v>Operating</x:v>
      </x:c>
      <x:c r="L310" s="22" t="str">
        <x:v>Pending source matching</x:v>
      </x:c>
      <x:c r="M310" s="30" t="str">
        <x:v>None</x:v>
      </x:c>
      <x:c r="N310" s="47" t="str">
        <x:v>Oct2025.xlsx</x:v>
      </x:c>
    </x:row>
    <x:row r="311">
      <x:c r="A311" s="46" t="n">
        <x:v>45942</x:v>
      </x:c>
      <x:c r="B311" s="30" t="str">
        <x:v>Oct-25</x:v>
      </x:c>
      <x:c r="C311" s="30" t="str">
        <x:v>Debit</x:v>
      </x:c>
      <x:c r="D311" s="19" t="str">
        <x:v>5483289039935/SBIEPYHIGHTENSIONHTP</x:v>
      </x:c>
      <x:c r="E311" s="30" t="str">
        <x:v>0000252862256182</x:v>
      </x:c>
      <x:c r="F311" s="30" t="str">
        <x:v>13/10/25</x:v>
      </x:c>
      <x:c r="G311" s="42" t="n">
        <x:v>43140</x:v>
      </x:c>
      <x:c r="H311" s="42"/>
      <x:c r="I311" s="42" t="n">
        <x:v>245192.22</x:v>
      </x:c>
      <x:c r="J311" s="30" t="str">
        <x:v>Possible vendor / operating payment</x:v>
      </x:c>
      <x:c r="K311" s="30" t="str">
        <x:v>Operating</x:v>
      </x:c>
      <x:c r="L311" s="22" t="str">
        <x:v>Pending source matching</x:v>
      </x:c>
      <x:c r="M311" s="30" t="str">
        <x:v>None</x:v>
      </x:c>
      <x:c r="N311" s="47" t="str">
        <x:v>Oct2025.xlsx</x:v>
      </x:c>
    </x:row>
    <x:row r="312">
      <x:c r="A312" s="46" t="n">
        <x:v>45942</x:v>
      </x:c>
      <x:c r="B312" s="30" t="str">
        <x:v>Oct-25</x:v>
      </x:c>
      <x:c r="C312" s="30" t="str">
        <x:v>Debit</x:v>
      </x:c>
      <x:c r="D312" s="19" t="str">
        <x:v>1673180061735/SBIEPYHIGHTENSIONHTP</x:v>
      </x:c>
      <x:c r="E312" s="30" t="str">
        <x:v>0000252862257037</x:v>
      </x:c>
      <x:c r="F312" s="30" t="str">
        <x:v>13/10/25</x:v>
      </x:c>
      <x:c r="G312" s="42" t="n">
        <x:v>4990</x:v>
      </x:c>
      <x:c r="H312" s="42"/>
      <x:c r="I312" s="42" t="n">
        <x:v>240202.22</x:v>
      </x:c>
      <x:c r="J312" s="30" t="str">
        <x:v>Possible vendor / operating payment</x:v>
      </x:c>
      <x:c r="K312" s="30" t="str">
        <x:v>Operating</x:v>
      </x:c>
      <x:c r="L312" s="22" t="str">
        <x:v>Pending source matching</x:v>
      </x:c>
      <x:c r="M312" s="30" t="str">
        <x:v>None</x:v>
      </x:c>
      <x:c r="N312" s="47" t="str">
        <x:v>Oct2025.xlsx</x:v>
      </x:c>
    </x:row>
    <x:row r="313">
      <x:c r="A313" s="46" t="n">
        <x:v>45942</x:v>
      </x:c>
      <x:c r="B313" s="30" t="str">
        <x:v>Oct-25</x:v>
      </x:c>
      <x:c r="C313" s="30" t="str">
        <x:v>Debit</x:v>
      </x:c>
      <x:c r="D313" s="19" t="str">
        <x:v>0606804175555/SBIEPYHIGHTENSIONHTP</x:v>
      </x:c>
      <x:c r="E313" s="30" t="str">
        <x:v>0000252862256860</x:v>
      </x:c>
      <x:c r="F313" s="30" t="str">
        <x:v>13/10/25</x:v>
      </x:c>
      <x:c r="G313" s="42" t="n">
        <x:v>6100</x:v>
      </x:c>
      <x:c r="H313" s="42"/>
      <x:c r="I313" s="42" t="n">
        <x:v>234102.22</x:v>
      </x:c>
      <x:c r="J313" s="30" t="str">
        <x:v>Possible vendor / operating payment</x:v>
      </x:c>
      <x:c r="K313" s="30" t="str">
        <x:v>Operating</x:v>
      </x:c>
      <x:c r="L313" s="22" t="str">
        <x:v>Pending source matching</x:v>
      </x:c>
      <x:c r="M313" s="30" t="str">
        <x:v>None</x:v>
      </x:c>
      <x:c r="N313" s="47" t="str">
        <x:v>Oct2025.xlsx</x:v>
      </x:c>
    </x:row>
    <x:row r="314">
      <x:c r="A314" s="46" t="n">
        <x:v>45942</x:v>
      </x:c>
      <x:c r="B314" s="30" t="str">
        <x:v>Oct-25</x:v>
      </x:c>
      <x:c r="C314" s="30" t="str">
        <x:v>Debit</x:v>
      </x:c>
      <x:c r="D314" s="19" t="str">
        <x:v>5481570463355/SBIEPYHIGHTENSIONHTP</x:v>
      </x:c>
      <x:c r="E314" s="30" t="str">
        <x:v>0000252862257321</x:v>
      </x:c>
      <x:c r="F314" s="30" t="str">
        <x:v>13/10/25</x:v>
      </x:c>
      <x:c r="G314" s="42" t="n">
        <x:v>5150</x:v>
      </x:c>
      <x:c r="H314" s="42"/>
      <x:c r="I314" s="42" t="n">
        <x:v>228952.22</x:v>
      </x:c>
      <x:c r="J314" s="30" t="str">
        <x:v>Possible vendor / operating payment</x:v>
      </x:c>
      <x:c r="K314" s="30" t="str">
        <x:v>Operating</x:v>
      </x:c>
      <x:c r="L314" s="22" t="str">
        <x:v>Pending source matching</x:v>
      </x:c>
      <x:c r="M314" s="30" t="str">
        <x:v>None</x:v>
      </x:c>
      <x:c r="N314" s="47" t="str">
        <x:v>Oct2025.xlsx</x:v>
      </x:c>
    </x:row>
    <x:row r="315">
      <x:c r="A315" s="46" t="n">
        <x:v>45942</x:v>
      </x:c>
      <x:c r="B315" s="30" t="str">
        <x:v>Oct-25</x:v>
      </x:c>
      <x:c r="C315" s="30" t="str">
        <x:v>Debit</x:v>
      </x:c>
      <x:c r="D315" s="19" t="str">
        <x:v>1026497086923/SBIEPYHIGHTENSIONHTP</x:v>
      </x:c>
      <x:c r="E315" s="30" t="str">
        <x:v>0000252862255800</x:v>
      </x:c>
      <x:c r="F315" s="30" t="str">
        <x:v>13/10/25</x:v>
      </x:c>
      <x:c r="G315" s="42" t="n">
        <x:v>43790</x:v>
      </x:c>
      <x:c r="H315" s="42"/>
      <x:c r="I315" s="42" t="n">
        <x:v>185162.22</x:v>
      </x:c>
      <x:c r="J315" s="30" t="str">
        <x:v>Possible vendor / operating payment</x:v>
      </x:c>
      <x:c r="K315" s="30" t="str">
        <x:v>Operating</x:v>
      </x:c>
      <x:c r="L315" s="22" t="str">
        <x:v>Pending source matching</x:v>
      </x:c>
      <x:c r="M315" s="30" t="str">
        <x:v>None</x:v>
      </x:c>
      <x:c r="N315" s="47" t="str">
        <x:v>Oct2025.xlsx</x:v>
      </x:c>
    </x:row>
    <x:row r="316">
      <x:c r="A316" s="46" t="n">
        <x:v>45944</x:v>
      </x:c>
      <x:c r="B316" s="30" t="str">
        <x:v>Oct-25</x:v>
      </x:c>
      <x:c r="C316" s="30" t="str">
        <x:v>Credit</x:v>
      </x:c>
      <x:c r="D316" s="19" t="str">
        <x:v>NEFT CR-ICIC0SF0002-VIVISH TECHNOLOGIES PRIVATE LIMITED-MONTVERTBIARRITZCOOPHOUSINGSOCIETYLTD-ICICN42025101559778785</x:v>
      </x:c>
      <x:c r="E316" s="30" t="str">
        <x:v>ICICN42025101559778785</x:v>
      </x:c>
      <x:c r="F316" s="30" t="str">
        <x:v>15/10/25</x:v>
      </x:c>
      <x:c r="G316" s="42"/>
      <x:c r="H316" s="42" t="n">
        <x:v>30000</x:v>
      </x:c>
      <x:c r="I316" s="42" t="n">
        <x:v>215162.22</x:v>
      </x:c>
      <x:c r="J316" s="30" t="str">
        <x:v>Possible collection</x:v>
      </x:c>
      <x:c r="K316" s="30" t="str">
        <x:v>Operating</x:v>
      </x:c>
      <x:c r="L316" s="22" t="str">
        <x:v>Pending source matching</x:v>
      </x:c>
      <x:c r="M316" s="30" t="str">
        <x:v>None</x:v>
      </x:c>
      <x:c r="N316" s="47" t="str">
        <x:v>Oct2025.xlsx</x:v>
      </x:c>
    </x:row>
    <x:row r="317">
      <x:c r="A317" s="46" t="n">
        <x:v>45946</x:v>
      </x:c>
      <x:c r="B317" s="30" t="str">
        <x:v>Oct-25</x:v>
      </x:c>
      <x:c r="C317" s="30" t="str">
        <x:v>Debit</x:v>
      </x:c>
      <x:c r="D317" s="19" t="str">
        <x:v>SELF - CHQ PAID - PASHAN - PUN</x:v>
      </x:c>
      <x:c r="E317" s="30" t="str">
        <x:v>0000000000000835</x:v>
      </x:c>
      <x:c r="F317" s="30" t="str">
        <x:v>17/10/25</x:v>
      </x:c>
      <x:c r="G317" s="42" t="n">
        <x:v>20000</x:v>
      </x:c>
      <x:c r="H317" s="42"/>
      <x:c r="I317" s="42" t="n">
        <x:v>195162.22</x:v>
      </x:c>
      <x:c r="J317" s="30" t="str">
        <x:v>Possible vendor / operating payment</x:v>
      </x:c>
      <x:c r="K317" s="30" t="str">
        <x:v>Operating</x:v>
      </x:c>
      <x:c r="L317" s="22" t="str">
        <x:v>Pending source matching</x:v>
      </x:c>
      <x:c r="M317" s="30" t="str">
        <x:v>None</x:v>
      </x:c>
      <x:c r="N317" s="47" t="str">
        <x:v>Oct2025.xlsx</x:v>
      </x:c>
    </x:row>
    <x:row r="318">
      <x:c r="A318" s="46" t="n">
        <x:v>45947</x:v>
      </x:c>
      <x:c r="B318" s="30" t="str">
        <x:v>Oct-25</x:v>
      </x:c>
      <x:c r="C318" s="30" t="str">
        <x:v>Credit</x:v>
      </x:c>
      <x:c r="D318" s="19" t="str">
        <x:v>NEFT CR-ICIC0SF0002-VIVISH TECHNOLOGIES PRIVATE LIMITED-MONTVERTBIARRITZCOOPHOUSINGSOCIETYLTD-ICICN42025101852940955</x:v>
      </x:c>
      <x:c r="E318" s="30" t="str">
        <x:v>ICICN42025101852940955</x:v>
      </x:c>
      <x:c r="F318" s="30" t="str">
        <x:v>18/10/25</x:v>
      </x:c>
      <x:c r="G318" s="42"/>
      <x:c r="H318" s="42" t="n">
        <x:v>30000</x:v>
      </x:c>
      <x:c r="I318" s="42" t="n">
        <x:v>225162.22</x:v>
      </x:c>
      <x:c r="J318" s="30" t="str">
        <x:v>Possible collection</x:v>
      </x:c>
      <x:c r="K318" s="30" t="str">
        <x:v>Operating</x:v>
      </x:c>
      <x:c r="L318" s="22" t="str">
        <x:v>Pending source matching</x:v>
      </x:c>
      <x:c r="M318" s="30" t="str">
        <x:v>None</x:v>
      </x:c>
      <x:c r="N318" s="47" t="str">
        <x:v>Oct2025.xlsx</x:v>
      </x:c>
    </x:row>
    <x:row r="319">
      <x:c r="A319" s="46" t="n">
        <x:v>45951</x:v>
      </x:c>
      <x:c r="B319" s="30" t="str">
        <x:v>Oct-25</x:v>
      </x:c>
      <x:c r="C319" s="30" t="str">
        <x:v>Credit</x:v>
      </x:c>
      <x:c r="D319" s="19" t="str">
        <x:v>02231610017226-TPT-A201 JULIAN SOCIETY MAINTENANCE-MATHEW GEORGINA</x:v>
      </x:c>
      <x:c r="E319" s="30" t="str">
        <x:v>0000001266765308</x:v>
      </x:c>
      <x:c r="F319" s="30" t="str">
        <x:v>22/10/25</x:v>
      </x:c>
      <x:c r="G319" s="42"/>
      <x:c r="H319" s="42" t="n">
        <x:v>30000</x:v>
      </x:c>
      <x:c r="I319" s="42" t="n">
        <x:v>255162.22</x:v>
      </x:c>
      <x:c r="J319" s="30" t="str">
        <x:v>Other bank credit</x:v>
      </x:c>
      <x:c r="K319" s="30" t="str">
        <x:v>Other</x:v>
      </x:c>
      <x:c r="L319" s="22" t="str">
        <x:v>Pending source matching</x:v>
      </x:c>
      <x:c r="M319" s="30" t="str">
        <x:v>None</x:v>
      </x:c>
      <x:c r="N319" s="47" t="str">
        <x:v>Oct2025.xlsx</x:v>
      </x:c>
    </x:row>
    <x:row r="320">
      <x:c r="A320" s="46" t="n">
        <x:v>45956</x:v>
      </x:c>
      <x:c r="B320" s="30" t="str">
        <x:v>Oct-25</x:v>
      </x:c>
      <x:c r="C320" s="30" t="str">
        <x:v>Credit</x:v>
      </x:c>
      <x:c r="D320" s="19" t="str">
        <x:v>FT - CR - 00521000095939 - SUMANLATA HEMENDRA SINGH</x:v>
      </x:c>
      <x:c r="E320" s="30" t="str">
        <x:v>0000000000000047</x:v>
      </x:c>
      <x:c r="F320" s="30" t="str">
        <x:v>27/10/25</x:v>
      </x:c>
      <x:c r="G320" s="42"/>
      <x:c r="H320" s="42" t="n">
        <x:v>32400</x:v>
      </x:c>
      <x:c r="I320" s="42" t="n">
        <x:v>287562.22</x:v>
      </x:c>
      <x:c r="J320" s="30" t="str">
        <x:v>Other bank credit</x:v>
      </x:c>
      <x:c r="K320" s="30" t="str">
        <x:v>Other</x:v>
      </x:c>
      <x:c r="L320" s="22" t="str">
        <x:v>Pending source matching</x:v>
      </x:c>
      <x:c r="M320" s="30" t="str">
        <x:v>None</x:v>
      </x:c>
      <x:c r="N320" s="47" t="str">
        <x:v>Oct2025.xlsx</x:v>
      </x:c>
    </x:row>
    <x:row r="321">
      <x:c r="A321" s="46" t="n">
        <x:v>45956</x:v>
      </x:c>
      <x:c r="B321" s="30" t="str">
        <x:v>Oct-25</x:v>
      </x:c>
      <x:c r="C321" s="30" t="str">
        <x:v>Credit</x:v>
      </x:c>
      <x:c r="D321" s="19" t="str">
        <x:v>NEFT CR-ICIC0SF0002-VIVISH TECHNOLOGIES PRIVATE LIMITED-MONTVERTBIARRITZCOOPHOUSINGSOCIETYLTD-ICICN42025102756683461</x:v>
      </x:c>
      <x:c r="E321" s="30" t="str">
        <x:v>ICICN42025102756683461</x:v>
      </x:c>
      <x:c r="F321" s="30" t="str">
        <x:v>27/10/25</x:v>
      </x:c>
      <x:c r="G321" s="42"/>
      <x:c r="H321" s="42" t="n">
        <x:v>32400</x:v>
      </x:c>
      <x:c r="I321" s="42" t="n">
        <x:v>319962.22</x:v>
      </x:c>
      <x:c r="J321" s="30" t="str">
        <x:v>Possible collection</x:v>
      </x:c>
      <x:c r="K321" s="30" t="str">
        <x:v>Operating</x:v>
      </x:c>
      <x:c r="L321" s="22" t="str">
        <x:v>Pending source matching</x:v>
      </x:c>
      <x:c r="M321" s="30" t="str">
        <x:v>None</x:v>
      </x:c>
      <x:c r="N321" s="47" t="str">
        <x:v>Oct2025.xlsx</x:v>
      </x:c>
    </x:row>
    <x:row r="322">
      <x:c r="A322" s="46" t="n">
        <x:v>45956</x:v>
      </x:c>
      <x:c r="B322" s="30" t="str">
        <x:v>Oct-25</x:v>
      </x:c>
      <x:c r="C322" s="30" t="str">
        <x:v>Credit</x:v>
      </x:c>
      <x:c r="D322" s="19" t="str">
        <x:v>NEFT CR-ICIC0SF0002-VIVISH TECHNOLOGIES PRIVATE LIMITED-MONTVERTBIARRITZCOOPHOUSINGSOCIETYLTD-ICICN42025102756685303</x:v>
      </x:c>
      <x:c r="E322" s="30" t="str">
        <x:v>ICICN42025102756685303</x:v>
      </x:c>
      <x:c r="F322" s="30" t="str">
        <x:v>27/10/25</x:v>
      </x:c>
      <x:c r="G322" s="42"/>
      <x:c r="H322" s="42" t="n">
        <x:v>30000</x:v>
      </x:c>
      <x:c r="I322" s="42" t="n">
        <x:v>349962.22</x:v>
      </x:c>
      <x:c r="J322" s="30" t="str">
        <x:v>Possible collection</x:v>
      </x:c>
      <x:c r="K322" s="30" t="str">
        <x:v>Operating</x:v>
      </x:c>
      <x:c r="L322" s="22" t="str">
        <x:v>Pending source matching</x:v>
      </x:c>
      <x:c r="M322" s="30" t="str">
        <x:v>None</x:v>
      </x:c>
      <x:c r="N322" s="47" t="str">
        <x:v>Oct2025.xlsx</x:v>
      </x:c>
    </x:row>
    <x:row r="323">
      <x:c r="A323" s="46" t="n">
        <x:v>45956</x:v>
      </x:c>
      <x:c r="B323" s="30" t="str">
        <x:v>Oct-25</x:v>
      </x:c>
      <x:c r="C323" s="30" t="str">
        <x:v>Credit</x:v>
      </x:c>
      <x:c r="D323" s="19" t="str">
        <x:v>NEFT CR-ICIC0SF0002-VIVISH TECHNOLOGIES PRIVATE LIMITED-MONTVERTBIARRITZCOOPHOUSINGSOCIETYLTD-ICICN42025102756776990</x:v>
      </x:c>
      <x:c r="E323" s="30" t="str">
        <x:v>ICICN42025102756776990</x:v>
      </x:c>
      <x:c r="F323" s="30" t="str">
        <x:v>27/10/25</x:v>
      </x:c>
      <x:c r="G323" s="42"/>
      <x:c r="H323" s="42" t="n">
        <x:v>30000</x:v>
      </x:c>
      <x:c r="I323" s="42" t="n">
        <x:v>379962.22</x:v>
      </x:c>
      <x:c r="J323" s="30" t="str">
        <x:v>Possible collection</x:v>
      </x:c>
      <x:c r="K323" s="30" t="str">
        <x:v>Operating</x:v>
      </x:c>
      <x:c r="L323" s="22" t="str">
        <x:v>Pending source matching</x:v>
      </x:c>
      <x:c r="M323" s="30" t="str">
        <x:v>None</x:v>
      </x:c>
      <x:c r="N323" s="47" t="str">
        <x:v>Oct2025.xlsx</x:v>
      </x:c>
    </x:row>
    <x:row r="324">
      <x:c r="A324" s="46" t="n">
        <x:v>45956</x:v>
      </x:c>
      <x:c r="B324" s="30" t="str">
        <x:v>Oct-25</x:v>
      </x:c>
      <x:c r="C324" s="30" t="str">
        <x:v>Credit</x:v>
      </x:c>
      <x:c r="D324" s="19" t="str">
        <x:v>NEFT CR-ICIC0SF0002-VIVISH TECHNOLOGIES PRIVATE LIMITED-MONTVERTBIARRITZCOOPHOUSINGSOCIETYLTD-ICICN42025102756795944</x:v>
      </x:c>
      <x:c r="E324" s="30" t="str">
        <x:v>ICICN42025102756795944</x:v>
      </x:c>
      <x:c r="F324" s="30" t="str">
        <x:v>27/10/25</x:v>
      </x:c>
      <x:c r="G324" s="42"/>
      <x:c r="H324" s="42" t="n">
        <x:v>30000</x:v>
      </x:c>
      <x:c r="I324" s="42" t="n">
        <x:v>409962.22</x:v>
      </x:c>
      <x:c r="J324" s="30" t="str">
        <x:v>Possible collection</x:v>
      </x:c>
      <x:c r="K324" s="30" t="str">
        <x:v>Operating</x:v>
      </x:c>
      <x:c r="L324" s="22" t="str">
        <x:v>Pending source matching</x:v>
      </x:c>
      <x:c r="M324" s="30" t="str">
        <x:v>None</x:v>
      </x:c>
      <x:c r="N324" s="47" t="str">
        <x:v>Oct2025.xlsx</x:v>
      </x:c>
    </x:row>
    <x:row r="325">
      <x:c r="A325" s="46" t="n">
        <x:v>45956</x:v>
      </x:c>
      <x:c r="B325" s="30" t="str">
        <x:v>Oct-25</x:v>
      </x:c>
      <x:c r="C325" s="30" t="str">
        <x:v>Debit</x:v>
      </x:c>
      <x:c r="D325" s="19" t="str">
        <x:v>CHQ PAID-CTS S6-MUMB-SOHAM</x:v>
      </x:c>
      <x:c r="E325" s="30" t="str">
        <x:v>0000000000000829</x:v>
      </x:c>
      <x:c r="F325" s="30" t="str">
        <x:v>27/10/25</x:v>
      </x:c>
      <x:c r="G325" s="42" t="n">
        <x:v>5000</x:v>
      </x:c>
      <x:c r="H325" s="42"/>
      <x:c r="I325" s="42" t="n">
        <x:v>404962.22</x:v>
      </x:c>
      <x:c r="J325" s="30" t="str">
        <x:v>Possible vendor / operating payment</x:v>
      </x:c>
      <x:c r="K325" s="30" t="str">
        <x:v>Operating</x:v>
      </x:c>
      <x:c r="L325" s="22" t="str">
        <x:v>Pending source matching</x:v>
      </x:c>
      <x:c r="M325" s="30" t="str">
        <x:v>None</x:v>
      </x:c>
      <x:c r="N325" s="47" t="str">
        <x:v>Oct2025.xlsx</x:v>
      </x:c>
    </x:row>
    <x:row r="326">
      <x:c r="A326" s="46" t="n">
        <x:v>45956</x:v>
      </x:c>
      <x:c r="B326" s="30" t="str">
        <x:v>Oct-25</x:v>
      </x:c>
      <x:c r="C326" s="30" t="str">
        <x:v>Credit</x:v>
      </x:c>
      <x:c r="D326" s="19" t="str">
        <x:v>I/W CHQ RET-INSTRUMENT POST DATED</x:v>
      </x:c>
      <x:c r="E326" s="30" t="str">
        <x:v>0000000000000829</x:v>
      </x:c>
      <x:c r="F326" s="30" t="str">
        <x:v>27/10/25</x:v>
      </x:c>
      <x:c r="G326" s="42"/>
      <x:c r="H326" s="42" t="n">
        <x:v>5000</x:v>
      </x:c>
      <x:c r="I326" s="42" t="n">
        <x:v>409962.22</x:v>
      </x:c>
      <x:c r="J326" s="30" t="str">
        <x:v>Other bank credit</x:v>
      </x:c>
      <x:c r="K326" s="30" t="str">
        <x:v>Other</x:v>
      </x:c>
      <x:c r="L326" s="22" t="str">
        <x:v>Pending source matching</x:v>
      </x:c>
      <x:c r="M326" s="30" t="str">
        <x:v>None</x:v>
      </x:c>
      <x:c r="N326" s="47" t="str">
        <x:v>Oct2025.xlsx</x:v>
      </x:c>
    </x:row>
    <x:row r="327">
      <x:c r="A327" s="46" t="n">
        <x:v>45956</x:v>
      </x:c>
      <x:c r="B327" s="30" t="str">
        <x:v>Oct-25</x:v>
      </x:c>
      <x:c r="C327" s="30" t="str">
        <x:v>Credit</x:v>
      </x:c>
      <x:c r="D327" s="19" t="str">
        <x:v>NEFT CR-ICIC0SF0002-VIVISH TECHNOLOGIES PRIVATE LIMITED-MONTVERTBIARRITZCOOPHOUSINGSOCIETYLTD-ICICN42025102756949780</x:v>
      </x:c>
      <x:c r="E327" s="30" t="str">
        <x:v>ICICN42025102756949780</x:v>
      </x:c>
      <x:c r="F327" s="30" t="str">
        <x:v>27/10/25</x:v>
      </x:c>
      <x:c r="G327" s="42"/>
      <x:c r="H327" s="42" t="n">
        <x:v>30000</x:v>
      </x:c>
      <x:c r="I327" s="42" t="n">
        <x:v>439962.22</x:v>
      </x:c>
      <x:c r="J327" s="30" t="str">
        <x:v>Possible collection</x:v>
      </x:c>
      <x:c r="K327" s="30" t="str">
        <x:v>Operating</x:v>
      </x:c>
      <x:c r="L327" s="22" t="str">
        <x:v>Pending source matching</x:v>
      </x:c>
      <x:c r="M327" s="30" t="str">
        <x:v>None</x:v>
      </x:c>
      <x:c r="N327" s="47" t="str">
        <x:v>Oct2025.xlsx</x:v>
      </x:c>
    </x:row>
    <x:row r="328">
      <x:c r="A328" s="46" t="n">
        <x:v>45957</x:v>
      </x:c>
      <x:c r="B328" s="30" t="str">
        <x:v>Oct-25</x:v>
      </x:c>
      <x:c r="C328" s="30" t="str">
        <x:v>Credit</x:v>
      </x:c>
      <x:c r="D328" s="19" t="str">
        <x:v>CHQ DEP MICR8 CLG MODEL COLONY - CTS CLG: KUL B KHNNA :PUNJAB NATIONAL BANK</x:v>
      </x:c>
      <x:c r="E328" s="30" t="str">
        <x:v>0000000000361462</x:v>
      </x:c>
      <x:c r="F328" s="30" t="str">
        <x:v>28/10/25</x:v>
      </x:c>
      <x:c r="G328" s="42"/>
      <x:c r="H328" s="42" t="n">
        <x:v>32400</x:v>
      </x:c>
      <x:c r="I328" s="42" t="n">
        <x:v>472362.22</x:v>
      </x:c>
      <x:c r="J328" s="30" t="str">
        <x:v>Other bank credit</x:v>
      </x:c>
      <x:c r="K328" s="30" t="str">
        <x:v>Other</x:v>
      </x:c>
      <x:c r="L328" s="22" t="str">
        <x:v>Pending source matching</x:v>
      </x:c>
      <x:c r="M328" s="30" t="str">
        <x:v>None</x:v>
      </x:c>
      <x:c r="N328" s="47" t="str">
        <x:v>Oct2025.xlsx</x:v>
      </x:c>
    </x:row>
    <x:row r="329">
      <x:c r="A329" s="46" t="n">
        <x:v>45957</x:v>
      </x:c>
      <x:c r="B329" s="30" t="str">
        <x:v>Oct-25</x:v>
      </x:c>
      <x:c r="C329" s="30" t="str">
        <x:v>Credit</x:v>
      </x:c>
      <x:c r="D329" s="19" t="str">
        <x:v>NEFT CR-ICIC0SF0002-VIVISH TECHNOLOGIES PRIVATE LIMITED-MONTVERTBIARRITZCOOPHOUSINGSOCIETYLTD-ICICN42025102857206650</x:v>
      </x:c>
      <x:c r="E329" s="30" t="str">
        <x:v>ICICN42025102857206650</x:v>
      </x:c>
      <x:c r="F329" s="30" t="str">
        <x:v>28/10/25</x:v>
      </x:c>
      <x:c r="G329" s="42"/>
      <x:c r="H329" s="42" t="n">
        <x:v>30000</x:v>
      </x:c>
      <x:c r="I329" s="42" t="n">
        <x:v>502362.22</x:v>
      </x:c>
      <x:c r="J329" s="30" t="str">
        <x:v>Possible collection</x:v>
      </x:c>
      <x:c r="K329" s="30" t="str">
        <x:v>Operating</x:v>
      </x:c>
      <x:c r="L329" s="22" t="str">
        <x:v>Pending source matching</x:v>
      </x:c>
      <x:c r="M329" s="30" t="str">
        <x:v>None</x:v>
      </x:c>
      <x:c r="N329" s="47" t="str">
        <x:v>Oct2025.xlsx</x:v>
      </x:c>
    </x:row>
    <x:row r="330">
      <x:c r="A330" s="46" t="n">
        <x:v>45957</x:v>
      </x:c>
      <x:c r="B330" s="30" t="str">
        <x:v>Oct-25</x:v>
      </x:c>
      <x:c r="C330" s="30" t="str">
        <x:v>Credit</x:v>
      </x:c>
      <x:c r="D330" s="19" t="str">
        <x:v>NEFT CR-ICIC0SF0002-VIVISH TECHNOLOGIES PRIVATE LIMITED-MONTVERTBIARRITZCOOPHOUSINGSOCIETYLTD-ICICN42025102857231604</x:v>
      </x:c>
      <x:c r="E330" s="30" t="str">
        <x:v>ICICN42025102857231604</x:v>
      </x:c>
      <x:c r="F330" s="30" t="str">
        <x:v>28/10/25</x:v>
      </x:c>
      <x:c r="G330" s="42"/>
      <x:c r="H330" s="42" t="n">
        <x:v>30000</x:v>
      </x:c>
      <x:c r="I330" s="42" t="n">
        <x:v>532362.22</x:v>
      </x:c>
      <x:c r="J330" s="30" t="str">
        <x:v>Possible collection</x:v>
      </x:c>
      <x:c r="K330" s="30" t="str">
        <x:v>Operating</x:v>
      </x:c>
      <x:c r="L330" s="22" t="str">
        <x:v>Pending source matching</x:v>
      </x:c>
      <x:c r="M330" s="30" t="str">
        <x:v>None</x:v>
      </x:c>
      <x:c r="N330" s="47" t="str">
        <x:v>Oct2025.xlsx</x:v>
      </x:c>
    </x:row>
    <x:row r="331">
      <x:c r="A331" s="46" t="n">
        <x:v>45957</x:v>
      </x:c>
      <x:c r="B331" s="30" t="str">
        <x:v>Oct-25</x:v>
      </x:c>
      <x:c r="C331" s="30" t="str">
        <x:v>Credit</x:v>
      </x:c>
      <x:c r="D331" s="19" t="str">
        <x:v>NEFT CR-ICIC0SF0002-VIVISH TECHNOLOGIES PRIVATE LIMITED-MONTVERTBIARRITZCOOPHOUSINGSOCIETYLTD-ICICN42025102857231326</x:v>
      </x:c>
      <x:c r="E331" s="30" t="str">
        <x:v>ICICN42025102857231326</x:v>
      </x:c>
      <x:c r="F331" s="30" t="str">
        <x:v>28/10/25</x:v>
      </x:c>
      <x:c r="G331" s="42"/>
      <x:c r="H331" s="42" t="n">
        <x:v>30000</x:v>
      </x:c>
      <x:c r="I331" s="42" t="n">
        <x:v>562362.22</x:v>
      </x:c>
      <x:c r="J331" s="30" t="str">
        <x:v>Possible collection</x:v>
      </x:c>
      <x:c r="K331" s="30" t="str">
        <x:v>Operating</x:v>
      </x:c>
      <x:c r="L331" s="22" t="str">
        <x:v>Pending source matching</x:v>
      </x:c>
      <x:c r="M331" s="30" t="str">
        <x:v>None</x:v>
      </x:c>
      <x:c r="N331" s="47" t="str">
        <x:v>Oct2025.xlsx</x:v>
      </x:c>
    </x:row>
    <x:row r="332">
      <x:c r="A332" s="46" t="n">
        <x:v>45957</x:v>
      </x:c>
      <x:c r="B332" s="30" t="str">
        <x:v>Oct-25</x:v>
      </x:c>
      <x:c r="C332" s="30" t="str">
        <x:v>Credit</x:v>
      </x:c>
      <x:c r="D332" s="19" t="str">
        <x:v>NEFT CR-ICIC0SF0002-VIVISH TECHNOLOGIES PRIVATE LIMITED-MONTVERTBIARRITZCOOPHOUSINGSOCIETYLTD-ICICN42025102857240535</x:v>
      </x:c>
      <x:c r="E332" s="30" t="str">
        <x:v>ICICN42025102857240535</x:v>
      </x:c>
      <x:c r="F332" s="30" t="str">
        <x:v>28/10/25</x:v>
      </x:c>
      <x:c r="G332" s="42"/>
      <x:c r="H332" s="42" t="n">
        <x:v>30000</x:v>
      </x:c>
      <x:c r="I332" s="42" t="n">
        <x:v>592362.22</x:v>
      </x:c>
      <x:c r="J332" s="30" t="str">
        <x:v>Possible collection</x:v>
      </x:c>
      <x:c r="K332" s="30" t="str">
        <x:v>Operating</x:v>
      </x:c>
      <x:c r="L332" s="22" t="str">
        <x:v>Pending source matching</x:v>
      </x:c>
      <x:c r="M332" s="30" t="str">
        <x:v>None</x:v>
      </x:c>
      <x:c r="N332" s="47" t="str">
        <x:v>Oct2025.xlsx</x:v>
      </x:c>
    </x:row>
    <x:row r="333">
      <x:c r="A333" s="46" t="n">
        <x:v>45957</x:v>
      </x:c>
      <x:c r="B333" s="30" t="str">
        <x:v>Oct-25</x:v>
      </x:c>
      <x:c r="C333" s="30" t="str">
        <x:v>Credit</x:v>
      </x:c>
      <x:c r="D333" s="19" t="str">
        <x:v>NEFT CR-ICIC0SF0002-VIVISH TECHNOLOGIES PRIVATE LIMITED-MONTVERTBIARRITZCOOPHOUSINGSOCIETYLTD-ICICN42025102857241277</x:v>
      </x:c>
      <x:c r="E333" s="30" t="str">
        <x:v>ICICN42025102857241277</x:v>
      </x:c>
      <x:c r="F333" s="30" t="str">
        <x:v>28/10/25</x:v>
      </x:c>
      <x:c r="G333" s="42"/>
      <x:c r="H333" s="42" t="n">
        <x:v>30000</x:v>
      </x:c>
      <x:c r="I333" s="42" t="n">
        <x:v>622362.22</x:v>
      </x:c>
      <x:c r="J333" s="30" t="str">
        <x:v>Possible collection</x:v>
      </x:c>
      <x:c r="K333" s="30" t="str">
        <x:v>Operating</x:v>
      </x:c>
      <x:c r="L333" s="22" t="str">
        <x:v>Pending source matching</x:v>
      </x:c>
      <x:c r="M333" s="30" t="str">
        <x:v>None</x:v>
      </x:c>
      <x:c r="N333" s="47" t="str">
        <x:v>Oct2025.xlsx</x:v>
      </x:c>
    </x:row>
    <x:row r="334">
      <x:c r="A334" s="46" t="n">
        <x:v>45957</x:v>
      </x:c>
      <x:c r="B334" s="30" t="str">
        <x:v>Oct-25</x:v>
      </x:c>
      <x:c r="C334" s="30" t="str">
        <x:v>Credit</x:v>
      </x:c>
      <x:c r="D334" s="19" t="str">
        <x:v>NEFT CR-ICIC0SF0002-VIVISH TECHNOLOGIES PRIVATE LIMITED-MONTVERTBIARRITZCOOPHOUSINGSOCIETYLTD-ICICN42025102857261166</x:v>
      </x:c>
      <x:c r="E334" s="30" t="str">
        <x:v>ICICN42025102857261166</x:v>
      </x:c>
      <x:c r="F334" s="30" t="str">
        <x:v>28/10/25</x:v>
      </x:c>
      <x:c r="G334" s="42"/>
      <x:c r="H334" s="42" t="n">
        <x:v>400</x:v>
      </x:c>
      <x:c r="I334" s="42" t="n">
        <x:v>622762.22</x:v>
      </x:c>
      <x:c r="J334" s="30" t="str">
        <x:v>Possible collection</x:v>
      </x:c>
      <x:c r="K334" s="30" t="str">
        <x:v>Operating</x:v>
      </x:c>
      <x:c r="L334" s="22" t="str">
        <x:v>Pending source matching</x:v>
      </x:c>
      <x:c r="M334" s="30" t="str">
        <x:v>None</x:v>
      </x:c>
      <x:c r="N334" s="47" t="str">
        <x:v>Oct2025.xlsx</x:v>
      </x:c>
    </x:row>
    <x:row r="335">
      <x:c r="A335" s="46" t="n">
        <x:v>45957</x:v>
      </x:c>
      <x:c r="B335" s="30" t="str">
        <x:v>Oct-25</x:v>
      </x:c>
      <x:c r="C335" s="30" t="str">
        <x:v>Credit</x:v>
      </x:c>
      <x:c r="D335" s="19" t="str">
        <x:v>NEFT CR-ICIC0SF0002-VIVISH TECHNOLOGIES PRIVATE LIMITED-MONTVERTBIARRITZCOOPHOUSINGSOCIETYLTD-ICICN42025102857269073</x:v>
      </x:c>
      <x:c r="E335" s="30" t="str">
        <x:v>ICICN42025102857269073</x:v>
      </x:c>
      <x:c r="F335" s="30" t="str">
        <x:v>28/10/25</x:v>
      </x:c>
      <x:c r="G335" s="42"/>
      <x:c r="H335" s="42" t="n">
        <x:v>32000</x:v>
      </x:c>
      <x:c r="I335" s="42" t="n">
        <x:v>654762.22</x:v>
      </x:c>
      <x:c r="J335" s="30" t="str">
        <x:v>Possible collection</x:v>
      </x:c>
      <x:c r="K335" s="30" t="str">
        <x:v>Operating</x:v>
      </x:c>
      <x:c r="L335" s="22" t="str">
        <x:v>Pending source matching</x:v>
      </x:c>
      <x:c r="M335" s="30" t="str">
        <x:v>None</x:v>
      </x:c>
      <x:c r="N335" s="47" t="str">
        <x:v>Oct2025.xlsx</x:v>
      </x:c>
    </x:row>
    <x:row r="336">
      <x:c r="A336" s="46" t="n">
        <x:v>45957</x:v>
      </x:c>
      <x:c r="B336" s="30" t="str">
        <x:v>Oct-25</x:v>
      </x:c>
      <x:c r="C336" s="30" t="str">
        <x:v>Debit</x:v>
      </x:c>
      <x:c r="D336" s="19" t="str">
        <x:v>CHQ RETURN CHGS INCL GST 081025-MIR2629705346423</x:v>
      </x:c>
      <x:c r="E336" s="30" t="str">
        <x:v>0000000000000830</x:v>
      </x:c>
      <x:c r="F336" s="30" t="str">
        <x:v>28/10/25</x:v>
      </x:c>
      <x:c r="G336" s="42" t="n">
        <x:v>59</x:v>
      </x:c>
      <x:c r="H336" s="42"/>
      <x:c r="I336" s="42" t="n">
        <x:v>654703.22</x:v>
      </x:c>
      <x:c r="J336" s="30" t="str">
        <x:v>Tax / statutory payment</x:v>
      </x:c>
      <x:c r="K336" s="30" t="str">
        <x:v>Operating</x:v>
      </x:c>
      <x:c r="L336" s="22" t="str">
        <x:v>Pending source matching</x:v>
      </x:c>
      <x:c r="M336" s="30" t="str">
        <x:v>None</x:v>
      </x:c>
      <x:c r="N336" s="47" t="str">
        <x:v>Oct2025.xlsx</x:v>
      </x:c>
    </x:row>
    <x:row r="337">
      <x:c r="A337" s="46" t="n">
        <x:v>45957</x:v>
      </x:c>
      <x:c r="B337" s="30" t="str">
        <x:v>Oct-25</x:v>
      </x:c>
      <x:c r="C337" s="30" t="str">
        <x:v>Debit</x:v>
      </x:c>
      <x:c r="D337" s="19" t="str">
        <x:v>FD THROUGH NET-50301237435966:MONT VERT BIARRITZ CO OP HOUSING SOC LTD</x:v>
      </x:c>
      <x:c r="E337" s="30" t="str">
        <x:v>IB28181344554524</x:v>
      </x:c>
      <x:c r="F337" s="30" t="str">
        <x:v>28/10/25</x:v>
      </x:c>
      <x:c r="G337" s="42" t="n">
        <x:v>300000</x:v>
      </x:c>
      <x:c r="H337" s="42"/>
      <x:c r="I337" s="42" t="n">
        <x:v>354703.22</x:v>
      </x:c>
      <x:c r="J337" s="30" t="str">
        <x:v>FD investment</x:v>
      </x:c>
      <x:c r="K337" s="30" t="str">
        <x:v>Investment</x:v>
      </x:c>
      <x:c r="L337" s="22" t="str">
        <x:v>Pending source matching</x:v>
      </x:c>
      <x:c r="M337" s="30" t="str">
        <x:v>None</x:v>
      </x:c>
      <x:c r="N337" s="47" t="str">
        <x:v>Oct2025.xlsx</x:v>
      </x:c>
    </x:row>
    <x:row r="338">
      <x:c r="A338" s="46" t="n">
        <x:v>45958</x:v>
      </x:c>
      <x:c r="B338" s="30" t="str">
        <x:v>Oct-25</x:v>
      </x:c>
      <x:c r="C338" s="30" t="str">
        <x:v>Credit</x:v>
      </x:c>
      <x:c r="D338" s="19" t="str">
        <x:v>NEFT CR-ICIC0SF0002-VIVISH TECHNOLOGIES PRIVATE LIMITED-MONTVERTBIARRITZCOOPHOUSINGSOCIETYLTD-ICICN42025102957689133</x:v>
      </x:c>
      <x:c r="E338" s="30" t="str">
        <x:v>ICICN42025102957689133</x:v>
      </x:c>
      <x:c r="F338" s="30" t="str">
        <x:v>29/10/25</x:v>
      </x:c>
      <x:c r="G338" s="42"/>
      <x:c r="H338" s="42" t="n">
        <x:v>30000</x:v>
      </x:c>
      <x:c r="I338" s="42" t="n">
        <x:v>384703.22</x:v>
      </x:c>
      <x:c r="J338" s="30" t="str">
        <x:v>Possible collection</x:v>
      </x:c>
      <x:c r="K338" s="30" t="str">
        <x:v>Operating</x:v>
      </x:c>
      <x:c r="L338" s="22" t="str">
        <x:v>Pending source matching</x:v>
      </x:c>
      <x:c r="M338" s="30" t="str">
        <x:v>None</x:v>
      </x:c>
      <x:c r="N338" s="47" t="str">
        <x:v>Oct2025.xlsx</x:v>
      </x:c>
    </x:row>
    <x:row r="339">
      <x:c r="A339" s="46" t="n">
        <x:v>45958</x:v>
      </x:c>
      <x:c r="B339" s="30" t="str">
        <x:v>Oct-25</x:v>
      </x:c>
      <x:c r="C339" s="30" t="str">
        <x:v>Credit</x:v>
      </x:c>
      <x:c r="D339" s="19" t="str">
        <x:v>NEFT CR-ICIC0SF0002-VIVISH TECHNOLOGIES PRIVATE LIMITED-MONTVERTBIARRITZCOOPHOUSINGSOCIETYLTD-ICICN42025102957714150</x:v>
      </x:c>
      <x:c r="E339" s="30" t="str">
        <x:v>ICICN42025102957714150</x:v>
      </x:c>
      <x:c r="F339" s="30" t="str">
        <x:v>29/10/25</x:v>
      </x:c>
      <x:c r="G339" s="42"/>
      <x:c r="H339" s="42" t="n">
        <x:v>30000</x:v>
      </x:c>
      <x:c r="I339" s="42" t="n">
        <x:v>414703.22</x:v>
      </x:c>
      <x:c r="J339" s="30" t="str">
        <x:v>Possible collection</x:v>
      </x:c>
      <x:c r="K339" s="30" t="str">
        <x:v>Operating</x:v>
      </x:c>
      <x:c r="L339" s="22" t="str">
        <x:v>Pending source matching</x:v>
      </x:c>
      <x:c r="M339" s="30" t="str">
        <x:v>None</x:v>
      </x:c>
      <x:c r="N339" s="47" t="str">
        <x:v>Oct2025.xlsx</x:v>
      </x:c>
    </x:row>
    <x:row r="340">
      <x:c r="A340" s="46" t="n">
        <x:v>45959</x:v>
      </x:c>
      <x:c r="B340" s="30" t="str">
        <x:v>Oct-25</x:v>
      </x:c>
      <x:c r="C340" s="30" t="str">
        <x:v>Credit</x:v>
      </x:c>
      <x:c r="D340" s="19" t="str">
        <x:v>NEFT CR-ICIC0SF0002-VIVISH TECHNOLOGIES PRIVATE LIMITED-MONTVERTBIARRITZCOOPHOUSINGSOCIETYLTD-ICICN42025103058206582</x:v>
      </x:c>
      <x:c r="E340" s="30" t="str">
        <x:v>ICICN42025103058206582</x:v>
      </x:c>
      <x:c r="F340" s="30" t="str">
        <x:v>30/10/25</x:v>
      </x:c>
      <x:c r="G340" s="42"/>
      <x:c r="H340" s="42" t="n">
        <x:v>30000</x:v>
      </x:c>
      <x:c r="I340" s="42" t="n">
        <x:v>444703.22</x:v>
      </x:c>
      <x:c r="J340" s="30" t="str">
        <x:v>Possible collection</x:v>
      </x:c>
      <x:c r="K340" s="30" t="str">
        <x:v>Operating</x:v>
      </x:c>
      <x:c r="L340" s="22" t="str">
        <x:v>Pending source matching</x:v>
      </x:c>
      <x:c r="M340" s="30" t="str">
        <x:v>None</x:v>
      </x:c>
      <x:c r="N340" s="47" t="str">
        <x:v>Oct2025.xlsx</x:v>
      </x:c>
    </x:row>
    <x:row r="341">
      <x:c r="A341" s="46" t="n">
        <x:v>45959</x:v>
      </x:c>
      <x:c r="B341" s="30" t="str">
        <x:v>Oct-25</x:v>
      </x:c>
      <x:c r="C341" s="30" t="str">
        <x:v>Credit</x:v>
      </x:c>
      <x:c r="D341" s="19" t="str">
        <x:v>NEFT CR-ICIC0SF0002-VIVISH TECHNOLOGIES PRIVATE LIMITED-MONTVERTBIARRITZCOOPHOUSINGSOCIETYLTD-ICICN42025103058207072</x:v>
      </x:c>
      <x:c r="E341" s="30" t="str">
        <x:v>ICICN42025103058207072</x:v>
      </x:c>
      <x:c r="F341" s="30" t="str">
        <x:v>30/10/25</x:v>
      </x:c>
      <x:c r="G341" s="42"/>
      <x:c r="H341" s="42" t="n">
        <x:v>30000</x:v>
      </x:c>
      <x:c r="I341" s="42" t="n">
        <x:v>474703.22</x:v>
      </x:c>
      <x:c r="J341" s="30" t="str">
        <x:v>Possible collection</x:v>
      </x:c>
      <x:c r="K341" s="30" t="str">
        <x:v>Operating</x:v>
      </x:c>
      <x:c r="L341" s="22" t="str">
        <x:v>Pending source matching</x:v>
      </x:c>
      <x:c r="M341" s="30" t="str">
        <x:v>None</x:v>
      </x:c>
      <x:c r="N341" s="47" t="str">
        <x:v>Oct2025.xlsx</x:v>
      </x:c>
    </x:row>
    <x:row r="342">
      <x:c r="A342" s="46" t="n">
        <x:v>45959</x:v>
      </x:c>
      <x:c r="B342" s="30" t="str">
        <x:v>Oct-25</x:v>
      </x:c>
      <x:c r="C342" s="30" t="str">
        <x:v>Credit</x:v>
      </x:c>
      <x:c r="D342" s="19" t="str">
        <x:v>NEFT CR-ICIC0SF0002-VIVISH TECHNOLOGIES PRIVATE LIMITED-MONTVERTBIARRITZCOOPHOUSINGSOCIETYLTD-ICICN42025103058209345</x:v>
      </x:c>
      <x:c r="E342" s="30" t="str">
        <x:v>ICICN42025103058209345</x:v>
      </x:c>
      <x:c r="F342" s="30" t="str">
        <x:v>30/10/25</x:v>
      </x:c>
      <x:c r="G342" s="42"/>
      <x:c r="H342" s="42" t="n">
        <x:v>600</x:v>
      </x:c>
      <x:c r="I342" s="42" t="n">
        <x:v>475303.22</x:v>
      </x:c>
      <x:c r="J342" s="30" t="str">
        <x:v>Possible collection</x:v>
      </x:c>
      <x:c r="K342" s="30" t="str">
        <x:v>Operating</x:v>
      </x:c>
      <x:c r="L342" s="22" t="str">
        <x:v>Pending source matching</x:v>
      </x:c>
      <x:c r="M342" s="30" t="str">
        <x:v>None</x:v>
      </x:c>
      <x:c r="N342" s="47" t="str">
        <x:v>Oct2025.xlsx</x:v>
      </x:c>
    </x:row>
    <x:row r="343">
      <x:c r="A343" s="46" t="n">
        <x:v>45959</x:v>
      </x:c>
      <x:c r="B343" s="30" t="str">
        <x:v>Oct-25</x:v>
      </x:c>
      <x:c r="C343" s="30" t="str">
        <x:v>Credit</x:v>
      </x:c>
      <x:c r="D343" s="19" t="str">
        <x:v>NEFT CR-ICIC0SF0002-VIVISH TECHNOLOGIES PRIVATE LIMITED-MONTVERTBIARRITZCOOPHOUSINGSOCIETYLTD-ICICN42025103058224228</x:v>
      </x:c>
      <x:c r="E343" s="30" t="str">
        <x:v>ICICN42025103058224228</x:v>
      </x:c>
      <x:c r="F343" s="30" t="str">
        <x:v>30/10/25</x:v>
      </x:c>
      <x:c r="G343" s="42"/>
      <x:c r="H343" s="42" t="n">
        <x:v>30000</x:v>
      </x:c>
      <x:c r="I343" s="42" t="n">
        <x:v>505303.22</x:v>
      </x:c>
      <x:c r="J343" s="30" t="str">
        <x:v>Possible collection</x:v>
      </x:c>
      <x:c r="K343" s="30" t="str">
        <x:v>Operating</x:v>
      </x:c>
      <x:c r="L343" s="22" t="str">
        <x:v>Pending source matching</x:v>
      </x:c>
      <x:c r="M343" s="30" t="str">
        <x:v>None</x:v>
      </x:c>
      <x:c r="N343" s="47" t="str">
        <x:v>Oct2025.xlsx</x:v>
      </x:c>
    </x:row>
    <x:row r="344">
      <x:c r="A344" s="46" t="n">
        <x:v>45959</x:v>
      </x:c>
      <x:c r="B344" s="30" t="str">
        <x:v>Oct-25</x:v>
      </x:c>
      <x:c r="C344" s="30" t="str">
        <x:v>Credit</x:v>
      </x:c>
      <x:c r="D344" s="19" t="str">
        <x:v>NEFT CR-ICIC0SF0002-VIVISH TECHNOLOGIES PRIVATE LIMITED-MONTVERTBIARRITZCOOPHOUSINGSOCIETYLTD-ICICN42025103058233814</x:v>
      </x:c>
      <x:c r="E344" s="30" t="str">
        <x:v>ICICN42025103058233814</x:v>
      </x:c>
      <x:c r="F344" s="30" t="str">
        <x:v>30/10/25</x:v>
      </x:c>
      <x:c r="G344" s="42"/>
      <x:c r="H344" s="42" t="n">
        <x:v>30000</x:v>
      </x:c>
      <x:c r="I344" s="42" t="n">
        <x:v>535303.22</x:v>
      </x:c>
      <x:c r="J344" s="30" t="str">
        <x:v>Possible collection</x:v>
      </x:c>
      <x:c r="K344" s="30" t="str">
        <x:v>Operating</x:v>
      </x:c>
      <x:c r="L344" s="22" t="str">
        <x:v>Pending source matching</x:v>
      </x:c>
      <x:c r="M344" s="30" t="str">
        <x:v>None</x:v>
      </x:c>
      <x:c r="N344" s="47" t="str">
        <x:v>Oct2025.xlsx</x:v>
      </x:c>
    </x:row>
    <x:row r="345">
      <x:c r="A345" s="46" t="n">
        <x:v>45959</x:v>
      </x:c>
      <x:c r="B345" s="30" t="str">
        <x:v>Oct-25</x:v>
      </x:c>
      <x:c r="C345" s="30" t="str">
        <x:v>Debit</x:v>
      </x:c>
      <x:c r="D345" s="19" t="str">
        <x:v>NEFT DR-SRCB0000109-DEEPAK B GAIKWAD-NETBANK, MUM-HDFCN52025103063459514-DIWALI BONUS</x:v>
      </x:c>
      <x:c r="E345" s="30" t="str">
        <x:v>HDFCN52025103063459514</x:v>
      </x:c>
      <x:c r="F345" s="30" t="str">
        <x:v>30/10/25</x:v>
      </x:c>
      <x:c r="G345" s="42" t="n">
        <x:v>20000</x:v>
      </x:c>
      <x:c r="H345" s="42"/>
      <x:c r="I345" s="42" t="n">
        <x:v>515303.22</x:v>
      </x:c>
      <x:c r="J345" s="30" t="str">
        <x:v>Possible vendor / operating payment</x:v>
      </x:c>
      <x:c r="K345" s="30" t="str">
        <x:v>Operating</x:v>
      </x:c>
      <x:c r="L345" s="22" t="str">
        <x:v>Pending source matching</x:v>
      </x:c>
      <x:c r="M345" s="30" t="str">
        <x:v>None</x:v>
      </x:c>
      <x:c r="N345" s="47" t="str">
        <x:v>Oct2025.xlsx</x:v>
      </x:c>
    </x:row>
    <x:row r="346">
      <x:c r="A346" s="46" t="n">
        <x:v>45959</x:v>
      </x:c>
      <x:c r="B346" s="30" t="str">
        <x:v>Oct-25</x:v>
      </x:c>
      <x:c r="C346" s="30" t="str">
        <x:v>Debit</x:v>
      </x:c>
      <x:c r="D346" s="19" t="str">
        <x:v>FD THROUGH NET-50301238374562:MONT VERT BIARRITZ CO OP HOUSING SOC LTD</x:v>
      </x:c>
      <x:c r="E346" s="30" t="str">
        <x:v>IB30164421702946</x:v>
      </x:c>
      <x:c r="F346" s="30" t="str">
        <x:v>30/10/25</x:v>
      </x:c>
      <x:c r="G346" s="42" t="n">
        <x:v>300000</x:v>
      </x:c>
      <x:c r="H346" s="42"/>
      <x:c r="I346" s="42" t="n">
        <x:v>215303.22</x:v>
      </x:c>
      <x:c r="J346" s="30" t="str">
        <x:v>FD investment</x:v>
      </x:c>
      <x:c r="K346" s="30" t="str">
        <x:v>Investment</x:v>
      </x:c>
      <x:c r="L346" s="22" t="str">
        <x:v>Pending source matching</x:v>
      </x:c>
      <x:c r="M346" s="30" t="str">
        <x:v>None</x:v>
      </x:c>
      <x:c r="N346" s="47" t="str">
        <x:v>Oct2025.xlsx</x:v>
      </x:c>
    </x:row>
    <x:row r="347">
      <x:c r="A347" s="46" t="n">
        <x:v>45960</x:v>
      </x:c>
      <x:c r="B347" s="30" t="str">
        <x:v>Oct-25</x:v>
      </x:c>
      <x:c r="C347" s="30" t="str">
        <x:v>Credit</x:v>
      </x:c>
      <x:c r="D347" s="19" t="str">
        <x:v>NEFT CR-ICIC0SF0002-VIVISH TECHNOLOGIES PRIVATE LIMITED-MONTVERTBIARRITZCOOPHOUSINGSOCIETYLTD-ICICN42025103158900514</x:v>
      </x:c>
      <x:c r="E347" s="30" t="str">
        <x:v>ICICN42025103158900514</x:v>
      </x:c>
      <x:c r="F347" s="30" t="str">
        <x:v>31/10/25</x:v>
      </x:c>
      <x:c r="G347" s="42"/>
      <x:c r="H347" s="42" t="n">
        <x:v>32400</x:v>
      </x:c>
      <x:c r="I347" s="42" t="n">
        <x:v>247703.22</x:v>
      </x:c>
      <x:c r="J347" s="30" t="str">
        <x:v>Possible collection</x:v>
      </x:c>
      <x:c r="K347" s="30" t="str">
        <x:v>Operating</x:v>
      </x:c>
      <x:c r="L347" s="22" t="str">
        <x:v>Pending source matching</x:v>
      </x:c>
      <x:c r="M347" s="30" t="str">
        <x:v>None</x:v>
      </x:c>
      <x:c r="N347" s="47" t="str">
        <x:v>Oct2025.xlsx</x:v>
      </x:c>
    </x:row>
    <x:row r="348">
      <x:c r="A348" s="46" t="n">
        <x:v>45960</x:v>
      </x:c>
      <x:c r="B348" s="30" t="str">
        <x:v>Oct-25</x:v>
      </x:c>
      <x:c r="C348" s="30" t="str">
        <x:v>Credit</x:v>
      </x:c>
      <x:c r="D348" s="19" t="str">
        <x:v>NEFT CR-ICIC0SF0002-VIVISH TECHNOLOGIES PRIVATE LIMITED-MONTVERTBIARRITZCOOPHOUSINGSOCIETYLTD-ICICN42025103158908215</x:v>
      </x:c>
      <x:c r="E348" s="30" t="str">
        <x:v>ICICN42025103158908215</x:v>
      </x:c>
      <x:c r="F348" s="30" t="str">
        <x:v>31/10/25</x:v>
      </x:c>
      <x:c r="G348" s="42"/>
      <x:c r="H348" s="42" t="n">
        <x:v>30000</x:v>
      </x:c>
      <x:c r="I348" s="42" t="n">
        <x:v>277703.22</x:v>
      </x:c>
      <x:c r="J348" s="30" t="str">
        <x:v>Possible collection</x:v>
      </x:c>
      <x:c r="K348" s="30" t="str">
        <x:v>Operating</x:v>
      </x:c>
      <x:c r="L348" s="22" t="str">
        <x:v>Pending source matching</x:v>
      </x:c>
      <x:c r="M348" s="30" t="str">
        <x:v>None</x:v>
      </x:c>
      <x:c r="N348" s="47" t="str">
        <x:v>Oct2025.xlsx</x:v>
      </x:c>
    </x:row>
    <x:row r="349">
      <x:c r="A349" s="46" t="n">
        <x:v>45960</x:v>
      </x:c>
      <x:c r="B349" s="30" t="str">
        <x:v>Oct-25</x:v>
      </x:c>
      <x:c r="C349" s="30" t="str">
        <x:v>Credit</x:v>
      </x:c>
      <x:c r="D349" s="19" t="str">
        <x:v>NEFT CR-ICIC0SF0002-VIVISH TECHNOLOGIES PRIVATE LIMITED-MONTVERTBIARRITZCOOPHOUSINGSOCIETYLTD-ICICN42025103158912134</x:v>
      </x:c>
      <x:c r="E349" s="30" t="str">
        <x:v>ICICN42025103158912134</x:v>
      </x:c>
      <x:c r="F349" s="30" t="str">
        <x:v>31/10/25</x:v>
      </x:c>
      <x:c r="G349" s="42"/>
      <x:c r="H349" s="42" t="n">
        <x:v>30000</x:v>
      </x:c>
      <x:c r="I349" s="42" t="n">
        <x:v>307703.22</x:v>
      </x:c>
      <x:c r="J349" s="30" t="str">
        <x:v>Possible collection</x:v>
      </x:c>
      <x:c r="K349" s="30" t="str">
        <x:v>Operating</x:v>
      </x:c>
      <x:c r="L349" s="22" t="str">
        <x:v>Pending source matching</x:v>
      </x:c>
      <x:c r="M349" s="30" t="str">
        <x:v>None</x:v>
      </x:c>
      <x:c r="N349" s="47" t="str">
        <x:v>Oct2025.xlsx</x:v>
      </x:c>
    </x:row>
    <x:row r="350">
      <x:c r="A350" s="46" t="n">
        <x:v>45960</x:v>
      </x:c>
      <x:c r="B350" s="30" t="str">
        <x:v>Oct-25</x:v>
      </x:c>
      <x:c r="C350" s="30" t="str">
        <x:v>Credit</x:v>
      </x:c>
      <x:c r="D350" s="19" t="str">
        <x:v>NEFT CR-ICIC0SF0002-VIVISH TECHNOLOGIES PRIVATE LIMITED-MONTVERTBIARRITZCOOPHOUSINGSOCIETYLTD-ICICN42025103158923796</x:v>
      </x:c>
      <x:c r="E350" s="30" t="str">
        <x:v>ICICN42025103158923796</x:v>
      </x:c>
      <x:c r="F350" s="30" t="str">
        <x:v>31/10/25</x:v>
      </x:c>
      <x:c r="G350" s="42"/>
      <x:c r="H350" s="42" t="n">
        <x:v>30000</x:v>
      </x:c>
      <x:c r="I350" s="42" t="n">
        <x:v>337703.22</x:v>
      </x:c>
      <x:c r="J350" s="30" t="str">
        <x:v>Possible collection</x:v>
      </x:c>
      <x:c r="K350" s="30" t="str">
        <x:v>Operating</x:v>
      </x:c>
      <x:c r="L350" s="22" t="str">
        <x:v>Pending source matching</x:v>
      </x:c>
      <x:c r="M350" s="30" t="str">
        <x:v>None</x:v>
      </x:c>
      <x:c r="N350" s="47" t="str">
        <x:v>Oct2025.xlsx</x:v>
      </x:c>
    </x:row>
    <x:row r="351">
      <x:c r="A351" s="46" t="n">
        <x:v>45960</x:v>
      </x:c>
      <x:c r="B351" s="30" t="str">
        <x:v>Oct-25</x:v>
      </x:c>
      <x:c r="C351" s="30" t="str">
        <x:v>Credit</x:v>
      </x:c>
      <x:c r="D351" s="19" t="str">
        <x:v>NEFT CR-ICIC0SF0002-VIVISH TECHNOLOGIES PRIVATE LIMITED-MONTVERTBIARRITZCOOPHOUSINGSOCIETYLTD-ICICN42025103158930528</x:v>
      </x:c>
      <x:c r="E351" s="30" t="str">
        <x:v>ICICN42025103158930528</x:v>
      </x:c>
      <x:c r="F351" s="30" t="str">
        <x:v>31/10/25</x:v>
      </x:c>
      <x:c r="G351" s="42"/>
      <x:c r="H351" s="42" t="n">
        <x:v>30000</x:v>
      </x:c>
      <x:c r="I351" s="42" t="n">
        <x:v>367703.22</x:v>
      </x:c>
      <x:c r="J351" s="30" t="str">
        <x:v>Possible collection</x:v>
      </x:c>
      <x:c r="K351" s="30" t="str">
        <x:v>Operating</x:v>
      </x:c>
      <x:c r="L351" s="22" t="str">
        <x:v>Pending source matching</x:v>
      </x:c>
      <x:c r="M351" s="30" t="str">
        <x:v>None</x:v>
      </x:c>
      <x:c r="N351" s="47" t="str">
        <x:v>Oct2025.xlsx</x:v>
      </x:c>
    </x:row>
    <x:row r="352">
      <x:c r="A352" s="46" t="n">
        <x:v>45960</x:v>
      </x:c>
      <x:c r="B352" s="30" t="str">
        <x:v>Oct-25</x:v>
      </x:c>
      <x:c r="C352" s="30" t="str">
        <x:v>Credit</x:v>
      </x:c>
      <x:c r="D352" s="19" t="str">
        <x:v>NEFT CR-ICIC0SF0002-VIVISH TECHNOLOGIES PRIVATE LIMITED-MONTVERTBIARRITZCOOPHOUSINGSOCIETYLTD-ICICN42025103158977191</x:v>
      </x:c>
      <x:c r="E352" s="30" t="str">
        <x:v>ICICN42025103158977191</x:v>
      </x:c>
      <x:c r="F352" s="30" t="str">
        <x:v>31/10/25</x:v>
      </x:c>
      <x:c r="G352" s="42"/>
      <x:c r="H352" s="42" t="n">
        <x:v>30000</x:v>
      </x:c>
      <x:c r="I352" s="42" t="n">
        <x:v>397703.22</x:v>
      </x:c>
      <x:c r="J352" s="30" t="str">
        <x:v>Possible collection</x:v>
      </x:c>
      <x:c r="K352" s="30" t="str">
        <x:v>Operating</x:v>
      </x:c>
      <x:c r="L352" s="22" t="str">
        <x:v>Pending source matching</x:v>
      </x:c>
      <x:c r="M352" s="30" t="str">
        <x:v>None</x:v>
      </x:c>
      <x:c r="N352" s="47" t="str">
        <x:v>Oct2025.xlsx</x:v>
      </x:c>
    </x:row>
    <x:row r="353">
      <x:c r="A353" s="46" t="n">
        <x:v>45960</x:v>
      </x:c>
      <x:c r="B353" s="30" t="str">
        <x:v>Oct-25</x:v>
      </x:c>
      <x:c r="C353" s="30" t="str">
        <x:v>Credit</x:v>
      </x:c>
      <x:c r="D353" s="19" t="str">
        <x:v>NEFT CR-ICIC0SF0002-VIVISH TECHNOLOGIES PRIVATE LIMITED-MONTVERTBIARRITZCOOPHOUSINGSOCIETYLTD-ICICN42025103158984974</x:v>
      </x:c>
      <x:c r="E353" s="30" t="str">
        <x:v>ICICN42025103158984974</x:v>
      </x:c>
      <x:c r="F353" s="30" t="str">
        <x:v>31/10/25</x:v>
      </x:c>
      <x:c r="G353" s="42"/>
      <x:c r="H353" s="42" t="n">
        <x:v>30000</x:v>
      </x:c>
      <x:c r="I353" s="42" t="n">
        <x:v>427703.22</x:v>
      </x:c>
      <x:c r="J353" s="30" t="str">
        <x:v>Possible collection</x:v>
      </x:c>
      <x:c r="K353" s="30" t="str">
        <x:v>Operating</x:v>
      </x:c>
      <x:c r="L353" s="22" t="str">
        <x:v>Pending source matching</x:v>
      </x:c>
      <x:c r="M353" s="30" t="str">
        <x:v>None</x:v>
      </x:c>
      <x:c r="N353" s="47" t="str">
        <x:v>Oct2025.xlsx</x:v>
      </x:c>
    </x:row>
    <x:row r="354">
      <x:c r="A354" s="46" t="n">
        <x:v>45960</x:v>
      </x:c>
      <x:c r="B354" s="30" t="str">
        <x:v>Oct-25</x:v>
      </x:c>
      <x:c r="C354" s="30" t="str">
        <x:v>Credit</x:v>
      </x:c>
      <x:c r="D354" s="19" t="str">
        <x:v>NEFT CR-ICIC0SF0002-VIVISH TECHNOLOGIES PRIVATE LIMITED-MONTVERTBIARRITZCOOPHOUSINGSOCIETYLTD-ICICN42025103158994828</x:v>
      </x:c>
      <x:c r="E354" s="30" t="str">
        <x:v>ICICN42025103158994828</x:v>
      </x:c>
      <x:c r="F354" s="30" t="str">
        <x:v>31/10/25</x:v>
      </x:c>
      <x:c r="G354" s="42"/>
      <x:c r="H354" s="42" t="n">
        <x:v>30000</x:v>
      </x:c>
      <x:c r="I354" s="42" t="n">
        <x:v>457703.22</x:v>
      </x:c>
      <x:c r="J354" s="30" t="str">
        <x:v>Possible collection</x:v>
      </x:c>
      <x:c r="K354" s="30" t="str">
        <x:v>Operating</x:v>
      </x:c>
      <x:c r="L354" s="22" t="str">
        <x:v>Pending source matching</x:v>
      </x:c>
      <x:c r="M354" s="30" t="str">
        <x:v>None</x:v>
      </x:c>
      <x:c r="N354" s="47" t="str">
        <x:v>Oct2025.xlsx</x:v>
      </x:c>
    </x:row>
    <x:row r="355">
      <x:c r="A355" s="46" t="n">
        <x:v>45960</x:v>
      </x:c>
      <x:c r="B355" s="30" t="str">
        <x:v>Oct-25</x:v>
      </x:c>
      <x:c r="C355" s="30" t="str">
        <x:v>Credit</x:v>
      </x:c>
      <x:c r="D355" s="19" t="str">
        <x:v>NEFT CR-ICIC0SF0002-VIVISH TECHNOLOGIES PRIVATE LIMITED-MONTVERTBIARRITZCOOPHOUSINGSOCIETYLTD-ICICN42025103159001907</x:v>
      </x:c>
      <x:c r="E355" s="30" t="str">
        <x:v>ICICN42025103159001907</x:v>
      </x:c>
      <x:c r="F355" s="30" t="str">
        <x:v>31/10/25</x:v>
      </x:c>
      <x:c r="G355" s="42"/>
      <x:c r="H355" s="42" t="n">
        <x:v>32400</x:v>
      </x:c>
      <x:c r="I355" s="42" t="n">
        <x:v>490103.22</x:v>
      </x:c>
      <x:c r="J355" s="30" t="str">
        <x:v>Possible collection</x:v>
      </x:c>
      <x:c r="K355" s="30" t="str">
        <x:v>Operating</x:v>
      </x:c>
      <x:c r="L355" s="22" t="str">
        <x:v>Pending source matching</x:v>
      </x:c>
      <x:c r="M355" s="30" t="str">
        <x:v>None</x:v>
      </x:c>
      <x:c r="N355" s="47" t="str">
        <x:v>Oct2025.xlsx</x:v>
      </x:c>
    </x:row>
    <x:row r="356">
      <x:c r="A356" s="46" t="n">
        <x:v>45960</x:v>
      </x:c>
      <x:c r="B356" s="30" t="str">
        <x:v>Oct-25</x:v>
      </x:c>
      <x:c r="C356" s="30" t="str">
        <x:v>Credit</x:v>
      </x:c>
      <x:c r="D356" s="19" t="str">
        <x:v>NEFT CR-ICIC0SF0002-VIVISH TECHNOLOGIES PRIVATE LIMITED-MONTVERTBIARRITZCOOPHOUSINGSOCIETYLTD-ICICN42025103159008433</x:v>
      </x:c>
      <x:c r="E356" s="30" t="str">
        <x:v>ICICN42025103159008433</x:v>
      </x:c>
      <x:c r="F356" s="30" t="str">
        <x:v>31/10/25</x:v>
      </x:c>
      <x:c r="G356" s="42"/>
      <x:c r="H356" s="42" t="n">
        <x:v>30000</x:v>
      </x:c>
      <x:c r="I356" s="42" t="n">
        <x:v>520103.22</x:v>
      </x:c>
      <x:c r="J356" s="30" t="str">
        <x:v>Possible collection</x:v>
      </x:c>
      <x:c r="K356" s="30" t="str">
        <x:v>Operating</x:v>
      </x:c>
      <x:c r="L356" s="22" t="str">
        <x:v>Pending source matching</x:v>
      </x:c>
      <x:c r="M356" s="30" t="str">
        <x:v>None</x:v>
      </x:c>
      <x:c r="N356" s="47" t="str">
        <x:v>Oct2025.xlsx</x:v>
      </x:c>
    </x:row>
    <x:row r="357">
      <x:c r="A357" s="46" t="n">
        <x:v>45960</x:v>
      </x:c>
      <x:c r="B357" s="30" t="str">
        <x:v>Oct-25</x:v>
      </x:c>
      <x:c r="C357" s="30" t="str">
        <x:v>Credit</x:v>
      </x:c>
      <x:c r="D357" s="19" t="str">
        <x:v>NEFT CR-ICIC0SF0002-VIVISH TECHNOLOGIES PRIVATE LIMITED-MONTVERTBIARRITZCOOPHOUSINGSOCIETYLTD-ICICN42025103159009292</x:v>
      </x:c>
      <x:c r="E357" s="30" t="str">
        <x:v>ICICN42025103159009292</x:v>
      </x:c>
      <x:c r="F357" s="30" t="str">
        <x:v>31/10/25</x:v>
      </x:c>
      <x:c r="G357" s="42"/>
      <x:c r="H357" s="42" t="n">
        <x:v>30000</x:v>
      </x:c>
      <x:c r="I357" s="42" t="n">
        <x:v>550103.22</x:v>
      </x:c>
      <x:c r="J357" s="30" t="str">
        <x:v>Possible collection</x:v>
      </x:c>
      <x:c r="K357" s="30" t="str">
        <x:v>Operating</x:v>
      </x:c>
      <x:c r="L357" s="22" t="str">
        <x:v>Pending source matching</x:v>
      </x:c>
      <x:c r="M357" s="30" t="str">
        <x:v>None</x:v>
      </x:c>
      <x:c r="N357" s="47" t="str">
        <x:v>Oct2025.xlsx</x:v>
      </x:c>
    </x:row>
    <x:row r="358">
      <x:c r="A358" s="46" t="n">
        <x:v>45960</x:v>
      </x:c>
      <x:c r="B358" s="30" t="str">
        <x:v>Oct-25</x:v>
      </x:c>
      <x:c r="C358" s="30" t="str">
        <x:v>Credit</x:v>
      </x:c>
      <x:c r="D358" s="19" t="str">
        <x:v>NEFT CR-ICIC0SF0002-VIVISH TECHNOLOGIES PRIVATE LIMITED-MONTVERTBIARRITZCOOPHOUSINGSOCIETYLTD-ICICN42025103159017074</x:v>
      </x:c>
      <x:c r="E358" s="30" t="str">
        <x:v>ICICN42025103159017074</x:v>
      </x:c>
      <x:c r="F358" s="30" t="str">
        <x:v>31/10/25</x:v>
      </x:c>
      <x:c r="G358" s="42"/>
      <x:c r="H358" s="42" t="n">
        <x:v>30000</x:v>
      </x:c>
      <x:c r="I358" s="42" t="n">
        <x:v>580103.22</x:v>
      </x:c>
      <x:c r="J358" s="30" t="str">
        <x:v>Possible collection</x:v>
      </x:c>
      <x:c r="K358" s="30" t="str">
        <x:v>Operating</x:v>
      </x:c>
      <x:c r="L358" s="22" t="str">
        <x:v>Pending source matching</x:v>
      </x:c>
      <x:c r="M358" s="30" t="str">
        <x:v>None</x:v>
      </x:c>
      <x:c r="N358" s="47" t="str">
        <x:v>Oct2025.xlsx</x:v>
      </x:c>
    </x:row>
    <x:row r="359">
      <x:c r="A359" s="46" t="n">
        <x:v>45960</x:v>
      </x:c>
      <x:c r="B359" s="30" t="str">
        <x:v>Oct-25</x:v>
      </x:c>
      <x:c r="C359" s="30" t="str">
        <x:v>Credit</x:v>
      </x:c>
      <x:c r="D359" s="19" t="str">
        <x:v>00071050099168-TPT-B604 OCT MAR26 MAINT-VISHWANATH SHARANAPPA LINGAYAT</x:v>
      </x:c>
      <x:c r="E359" s="30" t="str">
        <x:v>0000001023725775</x:v>
      </x:c>
      <x:c r="F359" s="30" t="str">
        <x:v>31/10/25</x:v>
      </x:c>
      <x:c r="G359" s="42"/>
      <x:c r="H359" s="42" t="n">
        <x:v>32000</x:v>
      </x:c>
      <x:c r="I359" s="42" t="n">
        <x:v>612103.22</x:v>
      </x:c>
      <x:c r="J359" s="30" t="str">
        <x:v>Other bank credit</x:v>
      </x:c>
      <x:c r="K359" s="30" t="str">
        <x:v>Other</x:v>
      </x:c>
      <x:c r="L359" s="22" t="str">
        <x:v>Pending source matching</x:v>
      </x:c>
      <x:c r="M359" s="30" t="str">
        <x:v>None</x:v>
      </x:c>
      <x:c r="N359" s="47" t="str">
        <x:v>Oct2025.xlsx</x:v>
      </x:c>
    </x:row>
    <x:row r="360">
      <x:c r="A360" s="46" t="n">
        <x:v>45960</x:v>
      </x:c>
      <x:c r="B360" s="30" t="str">
        <x:v>Oct-25</x:v>
      </x:c>
      <x:c r="C360" s="30" t="str">
        <x:v>Credit</x:v>
      </x:c>
      <x:c r="D360" s="19" t="str">
        <x:v>00071050099168-TPT-B604 BILL OCCUPANCY-VISHWANATH SHARANAPPA LINGAYAT</x:v>
      </x:c>
      <x:c r="E360" s="30" t="str">
        <x:v>0000001024002600</x:v>
      </x:c>
      <x:c r="F360" s="30" t="str">
        <x:v>31/10/25</x:v>
      </x:c>
      <x:c r="G360" s="42"/>
      <x:c r="H360" s="42" t="n">
        <x:v>400</x:v>
      </x:c>
      <x:c r="I360" s="42" t="n">
        <x:v>612503.22</x:v>
      </x:c>
      <x:c r="J360" s="30" t="str">
        <x:v>Other bank credit</x:v>
      </x:c>
      <x:c r="K360" s="30" t="str">
        <x:v>Other</x:v>
      </x:c>
      <x:c r="L360" s="22" t="str">
        <x:v>Pending source matching</x:v>
      </x:c>
      <x:c r="M360" s="30" t="str">
        <x:v>None</x:v>
      </x:c>
      <x:c r="N360" s="47" t="str">
        <x:v>Oct2025.xlsx</x:v>
      </x:c>
    </x:row>
    <x:row r="361">
      <x:c r="A361" s="46" t="n">
        <x:v>45961</x:v>
      </x:c>
      <x:c r="B361" s="30" t="str">
        <x:v>Nov-25</x:v>
      </x:c>
      <x:c r="C361" s="30" t="str">
        <x:v>Credit</x:v>
      </x:c>
      <x:c r="D361" s="19" t="str">
        <x:v>UPI SETTLEMENT -DKB258- 01/11/25</x:v>
      </x:c>
      <x:c r="E361" s="30" t="str">
        <x:v>000000000000000</x:v>
      </x:c>
      <x:c r="F361" s="30" t="str">
        <x:v>01/11/25</x:v>
      </x:c>
      <x:c r="G361" s="42"/>
      <x:c r="H361" s="42" t="n">
        <x:v>63841.22</x:v>
      </x:c>
      <x:c r="I361" s="42" t="n">
        <x:v>676344.44</x:v>
      </x:c>
      <x:c r="J361" s="30" t="str">
        <x:v>Possible collection</x:v>
      </x:c>
      <x:c r="K361" s="30" t="str">
        <x:v>Operating</x:v>
      </x:c>
      <x:c r="L361" s="22" t="str">
        <x:v>Pending source matching</x:v>
      </x:c>
      <x:c r="M361" s="30" t="str">
        <x:v>None</x:v>
      </x:c>
      <x:c r="N361" s="47" t="str">
        <x:v>Nov2025.xlsx</x:v>
      </x:c>
    </x:row>
    <x:row r="362">
      <x:c r="A362" s="46" t="n">
        <x:v>45961</x:v>
      </x:c>
      <x:c r="B362" s="30" t="str">
        <x:v>Nov-25</x:v>
      </x:c>
      <x:c r="C362" s="30" t="str">
        <x:v>Credit</x:v>
      </x:c>
      <x:c r="D362" s="19" t="str">
        <x:v>NEFT CR-ICIC0SF0002-VIVISH TECHNOLOGIES PRIVATE LIMITED-MONTVERTBIARRITZCOOPHOUSINGSOCIETYLTD-ICICN42025110159938604</x:v>
      </x:c>
      <x:c r="E362" s="30" t="str">
        <x:v>ICICN42025110159938604</x:v>
      </x:c>
      <x:c r="F362" s="30" t="str">
        <x:v>01/11/25</x:v>
      </x:c>
      <x:c r="G362" s="42"/>
      <x:c r="H362" s="42" t="n">
        <x:v>30000</x:v>
      </x:c>
      <x:c r="I362" s="42" t="n">
        <x:v>706344.44</x:v>
      </x:c>
      <x:c r="J362" s="30" t="str">
        <x:v>Possible collection</x:v>
      </x:c>
      <x:c r="K362" s="30" t="str">
        <x:v>Operating</x:v>
      </x:c>
      <x:c r="L362" s="22" t="str">
        <x:v>Pending source matching</x:v>
      </x:c>
      <x:c r="M362" s="30" t="str">
        <x:v>None</x:v>
      </x:c>
      <x:c r="N362" s="47" t="str">
        <x:v>Nov2025.xlsx</x:v>
      </x:c>
    </x:row>
    <x:row r="363">
      <x:c r="A363" s="46" t="n">
        <x:v>45961</x:v>
      </x:c>
      <x:c r="B363" s="30" t="str">
        <x:v>Nov-25</x:v>
      </x:c>
      <x:c r="C363" s="30" t="str">
        <x:v>Credit</x:v>
      </x:c>
      <x:c r="D363" s="19" t="str">
        <x:v>NEFT CR-ICIC0SF0002-VIVISH TECHNOLOGIES PRIVATE LIMITED-MONTVERTBIARRITZCOOPHOUSINGSOCIETYLTD-ICICN42025110159947812</x:v>
      </x:c>
      <x:c r="E363" s="30" t="str">
        <x:v>ICICN42025110159947812</x:v>
      </x:c>
      <x:c r="F363" s="30" t="str">
        <x:v>01/11/25</x:v>
      </x:c>
      <x:c r="G363" s="42"/>
      <x:c r="H363" s="42" t="n">
        <x:v>30000</x:v>
      </x:c>
      <x:c r="I363" s="42" t="n">
        <x:v>736344.44</x:v>
      </x:c>
      <x:c r="J363" s="30" t="str">
        <x:v>Possible collection</x:v>
      </x:c>
      <x:c r="K363" s="30" t="str">
        <x:v>Operating</x:v>
      </x:c>
      <x:c r="L363" s="22" t="str">
        <x:v>Pending source matching</x:v>
      </x:c>
      <x:c r="M363" s="30" t="str">
        <x:v>None</x:v>
      </x:c>
      <x:c r="N363" s="47" t="str">
        <x:v>Nov2025.xlsx</x:v>
      </x:c>
    </x:row>
    <x:row r="364">
      <x:c r="A364" s="46" t="n">
        <x:v>45961</x:v>
      </x:c>
      <x:c r="B364" s="30" t="str">
        <x:v>Nov-25</x:v>
      </x:c>
      <x:c r="C364" s="30" t="str">
        <x:v>Credit</x:v>
      </x:c>
      <x:c r="D364" s="19" t="str">
        <x:v>NEFT CR-ICIC0SF0002-VIVISH TECHNOLOGIES PRIVATE LIMITED-MONTVERTBIARRITZCOOPHOUSINGSOCIETYLTD-ICICN42025110150032852</x:v>
      </x:c>
      <x:c r="E364" s="30" t="str">
        <x:v>ICICN42025110150032852</x:v>
      </x:c>
      <x:c r="F364" s="30" t="str">
        <x:v>01/11/25</x:v>
      </x:c>
      <x:c r="G364" s="42"/>
      <x:c r="H364" s="42" t="n">
        <x:v>30000</x:v>
      </x:c>
      <x:c r="I364" s="42" t="n">
        <x:v>766344.44</x:v>
      </x:c>
      <x:c r="J364" s="30" t="str">
        <x:v>Possible collection</x:v>
      </x:c>
      <x:c r="K364" s="30" t="str">
        <x:v>Operating</x:v>
      </x:c>
      <x:c r="L364" s="22" t="str">
        <x:v>Pending source matching</x:v>
      </x:c>
      <x:c r="M364" s="30" t="str">
        <x:v>None</x:v>
      </x:c>
      <x:c r="N364" s="47" t="str">
        <x:v>Nov2025.xlsx</x:v>
      </x:c>
    </x:row>
    <x:row r="365">
      <x:c r="A365" s="46" t="n">
        <x:v>45961</x:v>
      </x:c>
      <x:c r="B365" s="30" t="str">
        <x:v>Nov-25</x:v>
      </x:c>
      <x:c r="C365" s="30" t="str">
        <x:v>Credit</x:v>
      </x:c>
      <x:c r="D365" s="19" t="str">
        <x:v>NEFT CR-ICIC0SF0002-VIVISH TECHNOLOGIES PRIVATE LIMITED-MONTVERTBIARRITZCOOPHOUSINGSOCIETYLTD-ICICN42025110150060064</x:v>
      </x:c>
      <x:c r="E365" s="30" t="str">
        <x:v>ICICN42025110150060064</x:v>
      </x:c>
      <x:c r="F365" s="30" t="str">
        <x:v>01/11/25</x:v>
      </x:c>
      <x:c r="G365" s="42"/>
      <x:c r="H365" s="42" t="n">
        <x:v>30000</x:v>
      </x:c>
      <x:c r="I365" s="42" t="n">
        <x:v>796344.44</x:v>
      </x:c>
      <x:c r="J365" s="30" t="str">
        <x:v>Possible collection</x:v>
      </x:c>
      <x:c r="K365" s="30" t="str">
        <x:v>Operating</x:v>
      </x:c>
      <x:c r="L365" s="22" t="str">
        <x:v>Pending source matching</x:v>
      </x:c>
      <x:c r="M365" s="30" t="str">
        <x:v>None</x:v>
      </x:c>
      <x:c r="N365" s="47" t="str">
        <x:v>Nov2025.xlsx</x:v>
      </x:c>
    </x:row>
    <x:row r="366">
      <x:c r="A366" s="46" t="n">
        <x:v>45961</x:v>
      </x:c>
      <x:c r="B366" s="30" t="str">
        <x:v>Nov-25</x:v>
      </x:c>
      <x:c r="C366" s="30" t="str">
        <x:v>Credit</x:v>
      </x:c>
      <x:c r="D366" s="19" t="str">
        <x:v>NEFT CR-ICIC0SF0002-VIVISH TECHNOLOGIES PRIVATE LIMITED-MONTVERTBIARRITZCOOPHOUSINGSOCIETYLTD-ICICN42025110150064504</x:v>
      </x:c>
      <x:c r="E366" s="30" t="str">
        <x:v>ICICN42025110150064504</x:v>
      </x:c>
      <x:c r="F366" s="30" t="str">
        <x:v>01/11/25</x:v>
      </x:c>
      <x:c r="G366" s="42"/>
      <x:c r="H366" s="42" t="n">
        <x:v>30000</x:v>
      </x:c>
      <x:c r="I366" s="42" t="n">
        <x:v>826344.44</x:v>
      </x:c>
      <x:c r="J366" s="30" t="str">
        <x:v>Possible collection</x:v>
      </x:c>
      <x:c r="K366" s="30" t="str">
        <x:v>Operating</x:v>
      </x:c>
      <x:c r="L366" s="22" t="str">
        <x:v>Pending source matching</x:v>
      </x:c>
      <x:c r="M366" s="30" t="str">
        <x:v>None</x:v>
      </x:c>
      <x:c r="N366" s="47" t="str">
        <x:v>Nov2025.xlsx</x:v>
      </x:c>
    </x:row>
    <x:row r="367">
      <x:c r="A367" s="46" t="n">
        <x:v>45961</x:v>
      </x:c>
      <x:c r="B367" s="30" t="str">
        <x:v>Nov-25</x:v>
      </x:c>
      <x:c r="C367" s="30" t="str">
        <x:v>Credit</x:v>
      </x:c>
      <x:c r="D367" s="19" t="str">
        <x:v>NEFT CR-ICIC0SF0002-VIVISH TECHNOLOGIES PRIVATE LIMITED-MONTVERTBIARRITZCOOPHOUSINGSOCIETYLTD-ICICN42025110150063551</x:v>
      </x:c>
      <x:c r="E367" s="30" t="str">
        <x:v>ICICN42025110150063551</x:v>
      </x:c>
      <x:c r="F367" s="30" t="str">
        <x:v>01/11/25</x:v>
      </x:c>
      <x:c r="G367" s="42"/>
      <x:c r="H367" s="42" t="n">
        <x:v>400</x:v>
      </x:c>
      <x:c r="I367" s="42" t="n">
        <x:v>826744.44</x:v>
      </x:c>
      <x:c r="J367" s="30" t="str">
        <x:v>Possible collection</x:v>
      </x:c>
      <x:c r="K367" s="30" t="str">
        <x:v>Operating</x:v>
      </x:c>
      <x:c r="L367" s="22" t="str">
        <x:v>Pending source matching</x:v>
      </x:c>
      <x:c r="M367" s="30" t="str">
        <x:v>None</x:v>
      </x:c>
      <x:c r="N367" s="47" t="str">
        <x:v>Nov2025.xlsx</x:v>
      </x:c>
    </x:row>
    <x:row r="368">
      <x:c r="A368" s="46" t="n">
        <x:v>45961</x:v>
      </x:c>
      <x:c r="B368" s="30" t="str">
        <x:v>Nov-25</x:v>
      </x:c>
      <x:c r="C368" s="30" t="str">
        <x:v>Credit</x:v>
      </x:c>
      <x:c r="D368" s="19" t="str">
        <x:v>NEFT CR-ICIC0SF0002-VIVISH TECHNOLOGIES PRIVATE LIMITED-MONTVERTBIARRITZCOOPHOUSINGSOCIETYLTD-ICICN42025110150079210</x:v>
      </x:c>
      <x:c r="E368" s="30" t="str">
        <x:v>ICICN42025110150079210</x:v>
      </x:c>
      <x:c r="F368" s="30" t="str">
        <x:v>01/11/25</x:v>
      </x:c>
      <x:c r="G368" s="42"/>
      <x:c r="H368" s="42" t="n">
        <x:v>30000</x:v>
      </x:c>
      <x:c r="I368" s="42" t="n">
        <x:v>856744.44</x:v>
      </x:c>
      <x:c r="J368" s="30" t="str">
        <x:v>Possible collection</x:v>
      </x:c>
      <x:c r="K368" s="30" t="str">
        <x:v>Operating</x:v>
      </x:c>
      <x:c r="L368" s="22" t="str">
        <x:v>Pending source matching</x:v>
      </x:c>
      <x:c r="M368" s="30" t="str">
        <x:v>None</x:v>
      </x:c>
      <x:c r="N368" s="47" t="str">
        <x:v>Nov2025.xlsx</x:v>
      </x:c>
    </x:row>
    <x:row r="369">
      <x:c r="A369" s="46" t="n">
        <x:v>45961</x:v>
      </x:c>
      <x:c r="B369" s="30" t="str">
        <x:v>Nov-25</x:v>
      </x:c>
      <x:c r="C369" s="30" t="str">
        <x:v>Credit</x:v>
      </x:c>
      <x:c r="D369" s="19" t="str">
        <x:v>NEFT CR-ICIC0SF0002-VIVISH TECHNOLOGIES PRIVATE LIMITED-MONTVERTBIARRITZCOOPHOUSINGSOCIETYLTD-ICICN42025110150087342</x:v>
      </x:c>
      <x:c r="E369" s="30" t="str">
        <x:v>ICICN42025110150087342</x:v>
      </x:c>
      <x:c r="F369" s="30" t="str">
        <x:v>01/11/25</x:v>
      </x:c>
      <x:c r="G369" s="42"/>
      <x:c r="H369" s="42" t="n">
        <x:v>30000</x:v>
      </x:c>
      <x:c r="I369" s="42" t="n">
        <x:v>886744.44</x:v>
      </x:c>
      <x:c r="J369" s="30" t="str">
        <x:v>Possible collection</x:v>
      </x:c>
      <x:c r="K369" s="30" t="str">
        <x:v>Operating</x:v>
      </x:c>
      <x:c r="L369" s="22" t="str">
        <x:v>Pending source matching</x:v>
      </x:c>
      <x:c r="M369" s="30" t="str">
        <x:v>None</x:v>
      </x:c>
      <x:c r="N369" s="47" t="str">
        <x:v>Nov2025.xlsx</x:v>
      </x:c>
    </x:row>
    <x:row r="370">
      <x:c r="A370" s="46" t="n">
        <x:v>45961</x:v>
      </x:c>
      <x:c r="B370" s="30" t="str">
        <x:v>Nov-25</x:v>
      </x:c>
      <x:c r="C370" s="30" t="str">
        <x:v>Credit</x:v>
      </x:c>
      <x:c r="D370" s="19" t="str">
        <x:v>NEFT CR-ICIC0SF0002-VIVISH TECHNOLOGIES PRIVATE LIMITED-MONTVERTBIARRITZCOOPHOUSINGSOCIETYLTD-ICICN42025110150087475</x:v>
      </x:c>
      <x:c r="E370" s="30" t="str">
        <x:v>ICICN42025110150087475</x:v>
      </x:c>
      <x:c r="F370" s="30" t="str">
        <x:v>01/11/25</x:v>
      </x:c>
      <x:c r="G370" s="42"/>
      <x:c r="H370" s="42" t="n">
        <x:v>30000</x:v>
      </x:c>
      <x:c r="I370" s="42" t="n">
        <x:v>916744.44</x:v>
      </x:c>
      <x:c r="J370" s="30" t="str">
        <x:v>Possible collection</x:v>
      </x:c>
      <x:c r="K370" s="30" t="str">
        <x:v>Operating</x:v>
      </x:c>
      <x:c r="L370" s="22" t="str">
        <x:v>Pending source matching</x:v>
      </x:c>
      <x:c r="M370" s="30" t="str">
        <x:v>None</x:v>
      </x:c>
      <x:c r="N370" s="47" t="str">
        <x:v>Nov2025.xlsx</x:v>
      </x:c>
    </x:row>
    <x:row r="371">
      <x:c r="A371" s="46" t="n">
        <x:v>45961</x:v>
      </x:c>
      <x:c r="B371" s="30" t="str">
        <x:v>Nov-25</x:v>
      </x:c>
      <x:c r="C371" s="30" t="str">
        <x:v>Credit</x:v>
      </x:c>
      <x:c r="D371" s="19" t="str">
        <x:v>NEFT CR-ICIC0SF0002-VIVISH TECHNOLOGIES PRIVATE LIMITED-MONTVERTBIARRITZCOOPHOUSINGSOCIETYLTD-ICICN42025110150092189</x:v>
      </x:c>
      <x:c r="E371" s="30" t="str">
        <x:v>ICICN42025110150092189</x:v>
      </x:c>
      <x:c r="F371" s="30" t="str">
        <x:v>01/11/25</x:v>
      </x:c>
      <x:c r="G371" s="42"/>
      <x:c r="H371" s="42" t="n">
        <x:v>30000</x:v>
      </x:c>
      <x:c r="I371" s="42" t="n">
        <x:v>946744.44</x:v>
      </x:c>
      <x:c r="J371" s="30" t="str">
        <x:v>Possible collection</x:v>
      </x:c>
      <x:c r="K371" s="30" t="str">
        <x:v>Operating</x:v>
      </x:c>
      <x:c r="L371" s="22" t="str">
        <x:v>Pending source matching</x:v>
      </x:c>
      <x:c r="M371" s="30" t="str">
        <x:v>None</x:v>
      </x:c>
      <x:c r="N371" s="47" t="str">
        <x:v>Nov2025.xlsx</x:v>
      </x:c>
    </x:row>
    <x:row r="372">
      <x:c r="A372" s="46" t="n">
        <x:v>45961</x:v>
      </x:c>
      <x:c r="B372" s="30" t="str">
        <x:v>Nov-25</x:v>
      </x:c>
      <x:c r="C372" s="30" t="str">
        <x:v>Credit</x:v>
      </x:c>
      <x:c r="D372" s="19" t="str">
        <x:v>NEFT CR-ICIC0SF0002-VIVISH TECHNOLOGIES PRIVATE LIMITED-MONTVERTBIARRITZCOOPHOUSINGSOCIETYLTD-ICICN42025110150095630</x:v>
      </x:c>
      <x:c r="E372" s="30" t="str">
        <x:v>ICICN42025110150095630</x:v>
      </x:c>
      <x:c r="F372" s="30" t="str">
        <x:v>01/11/25</x:v>
      </x:c>
      <x:c r="G372" s="42"/>
      <x:c r="H372" s="42" t="n">
        <x:v>30000</x:v>
      </x:c>
      <x:c r="I372" s="42" t="n">
        <x:v>976744.44</x:v>
      </x:c>
      <x:c r="J372" s="30" t="str">
        <x:v>Possible collection</x:v>
      </x:c>
      <x:c r="K372" s="30" t="str">
        <x:v>Operating</x:v>
      </x:c>
      <x:c r="L372" s="22" t="str">
        <x:v>Pending source matching</x:v>
      </x:c>
      <x:c r="M372" s="30" t="str">
        <x:v>None</x:v>
      </x:c>
      <x:c r="N372" s="47" t="str">
        <x:v>Nov2025.xlsx</x:v>
      </x:c>
    </x:row>
    <x:row r="373">
      <x:c r="A373" s="46" t="n">
        <x:v>45961</x:v>
      </x:c>
      <x:c r="B373" s="30" t="str">
        <x:v>Nov-25</x:v>
      </x:c>
      <x:c r="C373" s="30" t="str">
        <x:v>Credit</x:v>
      </x:c>
      <x:c r="D373" s="19" t="str">
        <x:v>NEFT CR-ICIC0SF0002-VIVISH TECHNOLOGIES PRIVATE LIMITED-MONTVERTBIARRITZCOOPHOUSINGSOCIETYLTD-ICICN42025110150107915</x:v>
      </x:c>
      <x:c r="E373" s="30" t="str">
        <x:v>ICICN42025110150107915</x:v>
      </x:c>
      <x:c r="F373" s="30" t="str">
        <x:v>01/11/25</x:v>
      </x:c>
      <x:c r="G373" s="42"/>
      <x:c r="H373" s="42" t="n">
        <x:v>30000</x:v>
      </x:c>
      <x:c r="I373" s="42" t="n">
        <x:v>1006744.44</x:v>
      </x:c>
      <x:c r="J373" s="30" t="str">
        <x:v>Possible collection</x:v>
      </x:c>
      <x:c r="K373" s="30" t="str">
        <x:v>Operating</x:v>
      </x:c>
      <x:c r="L373" s="22" t="str">
        <x:v>Pending source matching</x:v>
      </x:c>
      <x:c r="M373" s="30" t="str">
        <x:v>None</x:v>
      </x:c>
      <x:c r="N373" s="47" t="str">
        <x:v>Nov2025.xlsx</x:v>
      </x:c>
    </x:row>
    <x:row r="374">
      <x:c r="A374" s="46" t="n">
        <x:v>45961</x:v>
      </x:c>
      <x:c r="B374" s="30" t="str">
        <x:v>Nov-25</x:v>
      </x:c>
      <x:c r="C374" s="30" t="str">
        <x:v>Credit</x:v>
      </x:c>
      <x:c r="D374" s="19" t="str">
        <x:v>NEFT CR-ICIC0SF0002-VIVISH TECHNOLOGIES PRIVATE LIMITED-MONTVERTBIARRITZCOOPHOUSINGSOCIETYLTD-ICICN42025110150144160</x:v>
      </x:c>
      <x:c r="E374" s="30" t="str">
        <x:v>ICICN42025110150144160</x:v>
      </x:c>
      <x:c r="F374" s="30" t="str">
        <x:v>01/11/25</x:v>
      </x:c>
      <x:c r="G374" s="42"/>
      <x:c r="H374" s="42" t="n">
        <x:v>32000</x:v>
      </x:c>
      <x:c r="I374" s="42" t="n">
        <x:v>1038744.44</x:v>
      </x:c>
      <x:c r="J374" s="30" t="str">
        <x:v>Possible collection</x:v>
      </x:c>
      <x:c r="K374" s="30" t="str">
        <x:v>Operating</x:v>
      </x:c>
      <x:c r="L374" s="22" t="str">
        <x:v>Pending source matching</x:v>
      </x:c>
      <x:c r="M374" s="30" t="str">
        <x:v>None</x:v>
      </x:c>
      <x:c r="N374" s="47" t="str">
        <x:v>Nov2025.xlsx</x:v>
      </x:c>
    </x:row>
    <x:row r="375">
      <x:c r="A375" s="46" t="n">
        <x:v>45961</x:v>
      </x:c>
      <x:c r="B375" s="30" t="str">
        <x:v>Nov-25</x:v>
      </x:c>
      <x:c r="C375" s="30" t="str">
        <x:v>Debit</x:v>
      </x:c>
      <x:c r="D375" s="19" t="str">
        <x:v>FD THROUGH NET-50301239902714:MONT VERT BIARRITZ CO OP HOUSING SOC LTD</x:v>
      </x:c>
      <x:c r="E375" s="30" t="str">
        <x:v>IB01173901194605</x:v>
      </x:c>
      <x:c r="F375" s="30" t="str">
        <x:v>01/11/25</x:v>
      </x:c>
      <x:c r="G375" s="42" t="n">
        <x:v>300000</x:v>
      </x:c>
      <x:c r="H375" s="42"/>
      <x:c r="I375" s="42" t="n">
        <x:v>738744.44</x:v>
      </x:c>
      <x:c r="J375" s="30" t="str">
        <x:v>FD investment</x:v>
      </x:c>
      <x:c r="K375" s="30" t="str">
        <x:v>Investment</x:v>
      </x:c>
      <x:c r="L375" s="22" t="str">
        <x:v>Pending source matching</x:v>
      </x:c>
      <x:c r="M375" s="30" t="str">
        <x:v>None</x:v>
      </x:c>
      <x:c r="N375" s="47" t="str">
        <x:v>Nov2025.xlsx</x:v>
      </x:c>
    </x:row>
    <x:row r="376">
      <x:c r="A376" s="46" t="n">
        <x:v>45961</x:v>
      </x:c>
      <x:c r="B376" s="30" t="str">
        <x:v>Nov-25</x:v>
      </x:c>
      <x:c r="C376" s="30" t="str">
        <x:v>Debit</x:v>
      </x:c>
      <x:c r="D376" s="19" t="str">
        <x:v>FD THROUGH NET-50301239905456:MONT VERT BIARRITZ CO OP HOUSING SOC LTD</x:v>
      </x:c>
      <x:c r="E376" s="30" t="str">
        <x:v>IB01174137810645</x:v>
      </x:c>
      <x:c r="F376" s="30" t="str">
        <x:v>01/11/25</x:v>
      </x:c>
      <x:c r="G376" s="42" t="n">
        <x:v>300000</x:v>
      </x:c>
      <x:c r="H376" s="42"/>
      <x:c r="I376" s="42" t="n">
        <x:v>438744.44</x:v>
      </x:c>
      <x:c r="J376" s="30" t="str">
        <x:v>FD investment</x:v>
      </x:c>
      <x:c r="K376" s="30" t="str">
        <x:v>Investment</x:v>
      </x:c>
      <x:c r="L376" s="22" t="str">
        <x:v>Pending source matching</x:v>
      </x:c>
      <x:c r="M376" s="30" t="str">
        <x:v>None</x:v>
      </x:c>
      <x:c r="N376" s="47" t="str">
        <x:v>Nov2025.xlsx</x:v>
      </x:c>
    </x:row>
    <x:row r="377">
      <x:c r="A377" s="46" t="n">
        <x:v>45962</x:v>
      </x:c>
      <x:c r="B377" s="30" t="str">
        <x:v>Nov-25</x:v>
      </x:c>
      <x:c r="C377" s="30" t="str">
        <x:v>Credit</x:v>
      </x:c>
      <x:c r="D377" s="19" t="str">
        <x:v>50200033875780-TPT-PARKING-SAICON CONSTRUCTIONS AND INFRA LLP</x:v>
      </x:c>
      <x:c r="E377" s="30" t="str">
        <x:v>0000000406812989</x:v>
      </x:c>
      <x:c r="F377" s="30" t="str">
        <x:v>02/11/25</x:v>
      </x:c>
      <x:c r="G377" s="42"/>
      <x:c r="H377" s="42" t="n">
        <x:v>7200</x:v>
      </x:c>
      <x:c r="I377" s="42" t="n">
        <x:v>445944.44</x:v>
      </x:c>
      <x:c r="J377" s="30" t="str">
        <x:v>Other bank credit</x:v>
      </x:c>
      <x:c r="K377" s="30" t="str">
        <x:v>Other</x:v>
      </x:c>
      <x:c r="L377" s="22" t="str">
        <x:v>Pending source matching</x:v>
      </x:c>
      <x:c r="M377" s="30" t="str">
        <x:v>None</x:v>
      </x:c>
      <x:c r="N377" s="47" t="str">
        <x:v>Nov2025.xlsx</x:v>
      </x:c>
    </x:row>
    <x:row r="378">
      <x:c r="A378" s="46" t="n">
        <x:v>45963</x:v>
      </x:c>
      <x:c r="B378" s="30" t="str">
        <x:v>Nov-25</x:v>
      </x:c>
      <x:c r="C378" s="30" t="str">
        <x:v>Credit</x:v>
      </x:c>
      <x:c r="D378" s="19" t="str">
        <x:v>NEFT CR-ICIC0SF0002-VIVISH TECHNOLOGIES PRIVATE LIMITED-MONTVERTBIARRITZCOOPHOUSINGSOCIETYLTD-ICICN42025110351758404</x:v>
      </x:c>
      <x:c r="E378" s="30" t="str">
        <x:v>ICICN42025110351758404</x:v>
      </x:c>
      <x:c r="F378" s="30" t="str">
        <x:v>03/11/25</x:v>
      </x:c>
      <x:c r="G378" s="42"/>
      <x:c r="H378" s="42" t="n">
        <x:v>600</x:v>
      </x:c>
      <x:c r="I378" s="42" t="n">
        <x:v>446544.44</x:v>
      </x:c>
      <x:c r="J378" s="30" t="str">
        <x:v>Possible collection</x:v>
      </x:c>
      <x:c r="K378" s="30" t="str">
        <x:v>Operating</x:v>
      </x:c>
      <x:c r="L378" s="22" t="str">
        <x:v>Pending source matching</x:v>
      </x:c>
      <x:c r="M378" s="30" t="str">
        <x:v>None</x:v>
      </x:c>
      <x:c r="N378" s="47" t="str">
        <x:v>Nov2025.xlsx</x:v>
      </x:c>
    </x:row>
    <x:row r="379">
      <x:c r="A379" s="46" t="n">
        <x:v>45963</x:v>
      </x:c>
      <x:c r="B379" s="30" t="str">
        <x:v>Nov-25</x:v>
      </x:c>
      <x:c r="C379" s="30" t="str">
        <x:v>Credit</x:v>
      </x:c>
      <x:c r="D379" s="19" t="str">
        <x:v>NEFT CR-ICIC0SF0002-VIVISH TECHNOLOGIES PRIVATE LIMITED-MONTVERTBIARRITZCOOPHOUSINGSOCIETYLTD-ICICN42025110351971584</x:v>
      </x:c>
      <x:c r="E379" s="30" t="str">
        <x:v>ICICN42025110351971584</x:v>
      </x:c>
      <x:c r="F379" s="30" t="str">
        <x:v>03/11/25</x:v>
      </x:c>
      <x:c r="G379" s="42"/>
      <x:c r="H379" s="42" t="n">
        <x:v>7200</x:v>
      </x:c>
      <x:c r="I379" s="42" t="n">
        <x:v>453744.44</x:v>
      </x:c>
      <x:c r="J379" s="30" t="str">
        <x:v>Possible collection</x:v>
      </x:c>
      <x:c r="K379" s="30" t="str">
        <x:v>Operating</x:v>
      </x:c>
      <x:c r="L379" s="22" t="str">
        <x:v>Pending source matching</x:v>
      </x:c>
      <x:c r="M379" s="30" t="str">
        <x:v>None</x:v>
      </x:c>
      <x:c r="N379" s="47" t="str">
        <x:v>Nov2025.xlsx</x:v>
      </x:c>
    </x:row>
    <x:row r="380">
      <x:c r="A380" s="46" t="n">
        <x:v>45963</x:v>
      </x:c>
      <x:c r="B380" s="30" t="str">
        <x:v>Nov-25</x:v>
      </x:c>
      <x:c r="C380" s="30" t="str">
        <x:v>Credit</x:v>
      </x:c>
      <x:c r="D380" s="19" t="str">
        <x:v>NEFT CR-ICIC0SF0002-VIVISH TECHNOLOGIES PRIVATE LIMITED-MONTVERTBIARRITZCOOPHOUSINGSOCIETYLTD-ICICN42025110352101878</x:v>
      </x:c>
      <x:c r="E380" s="30" t="str">
        <x:v>ICICN42025110352101878</x:v>
      </x:c>
      <x:c r="F380" s="30" t="str">
        <x:v>03/11/25</x:v>
      </x:c>
      <x:c r="G380" s="42"/>
      <x:c r="H380" s="42" t="n">
        <x:v>32418.63</x:v>
      </x:c>
      <x:c r="I380" s="42" t="n">
        <x:v>486163.07</x:v>
      </x:c>
      <x:c r="J380" s="30" t="str">
        <x:v>Possible collection</x:v>
      </x:c>
      <x:c r="K380" s="30" t="str">
        <x:v>Operating</x:v>
      </x:c>
      <x:c r="L380" s="22" t="str">
        <x:v>Pending source matching</x:v>
      </x:c>
      <x:c r="M380" s="30" t="str">
        <x:v>None</x:v>
      </x:c>
      <x:c r="N380" s="47" t="str">
        <x:v>Nov2025.xlsx</x:v>
      </x:c>
    </x:row>
    <x:row r="381">
      <x:c r="A381" s="46" t="n">
        <x:v>45963</x:v>
      </x:c>
      <x:c r="B381" s="30" t="str">
        <x:v>Nov-25</x:v>
      </x:c>
      <x:c r="C381" s="30" t="str">
        <x:v>Credit</x:v>
      </x:c>
      <x:c r="D381" s="19" t="str">
        <x:v>NEFT CR-ICIC0SF0002-VIVISH TECHNOLOGIES PRIVATE LIMITED-MONTVERTBIARRITZCOOPHOUSINGSOCIETYLTD-ICICN42025110352127919</x:v>
      </x:c>
      <x:c r="E381" s="30" t="str">
        <x:v>ICICN42025110352127919</x:v>
      </x:c>
      <x:c r="F381" s="30" t="str">
        <x:v>03/11/25</x:v>
      </x:c>
      <x:c r="G381" s="42"/>
      <x:c r="H381" s="42" t="n">
        <x:v>30017.25</x:v>
      </x:c>
      <x:c r="I381" s="42" t="n">
        <x:v>516180.32</x:v>
      </x:c>
      <x:c r="J381" s="30" t="str">
        <x:v>Possible collection</x:v>
      </x:c>
      <x:c r="K381" s="30" t="str">
        <x:v>Operating</x:v>
      </x:c>
      <x:c r="L381" s="22" t="str">
        <x:v>Pending source matching</x:v>
      </x:c>
      <x:c r="M381" s="30" t="str">
        <x:v>None</x:v>
      </x:c>
      <x:c r="N381" s="47" t="str">
        <x:v>Nov2025.xlsx</x:v>
      </x:c>
    </x:row>
    <x:row r="382">
      <x:c r="A382" s="46" t="n">
        <x:v>45963</x:v>
      </x:c>
      <x:c r="B382" s="30" t="str">
        <x:v>Nov-25</x:v>
      </x:c>
      <x:c r="C382" s="30" t="str">
        <x:v>Credit</x:v>
      </x:c>
      <x:c r="D382" s="19" t="str">
        <x:v>NEFT CR-ICIC0SF0002-VIVISH TECHNOLOGIES PRIVATE LIMITED-MONTVERTBIARRITZCOOPHOUSINGSOCIETYLTD-ICICN42025110352142559</x:v>
      </x:c>
      <x:c r="E382" s="30" t="str">
        <x:v>ICICN42025110352142559</x:v>
      </x:c>
      <x:c r="F382" s="30" t="str">
        <x:v>03/11/25</x:v>
      </x:c>
      <x:c r="G382" s="42"/>
      <x:c r="H382" s="42" t="n">
        <x:v>4402.53</x:v>
      </x:c>
      <x:c r="I382" s="42" t="n">
        <x:v>520582.85</x:v>
      </x:c>
      <x:c r="J382" s="30" t="str">
        <x:v>Possible collection</x:v>
      </x:c>
      <x:c r="K382" s="30" t="str">
        <x:v>Operating</x:v>
      </x:c>
      <x:c r="L382" s="22" t="str">
        <x:v>Pending source matching</x:v>
      </x:c>
      <x:c r="M382" s="30" t="str">
        <x:v>None</x:v>
      </x:c>
      <x:c r="N382" s="47" t="str">
        <x:v>Nov2025.xlsx</x:v>
      </x:c>
    </x:row>
    <x:row r="383">
      <x:c r="A383" s="46" t="n">
        <x:v>45963</x:v>
      </x:c>
      <x:c r="B383" s="30" t="str">
        <x:v>Nov-25</x:v>
      </x:c>
      <x:c r="C383" s="30" t="str">
        <x:v>Credit</x:v>
      </x:c>
      <x:c r="D383" s="19" t="str">
        <x:v>NEFT CR-ICIC0SF0002-VIVISH TECHNOLOGIES PRIVATE LIMITED-MONTVERTBIARRITZCOOPHOUSINGSOCIETYLTD-ICICN42025110352165809</x:v>
      </x:c>
      <x:c r="E383" s="30" t="str">
        <x:v>ICICN42025110352165809</x:v>
      </x:c>
      <x:c r="F383" s="30" t="str">
        <x:v>03/11/25</x:v>
      </x:c>
      <x:c r="G383" s="42"/>
      <x:c r="H383" s="42" t="n">
        <x:v>30017.25</x:v>
      </x:c>
      <x:c r="I383" s="42" t="n">
        <x:v>550600.1</x:v>
      </x:c>
      <x:c r="J383" s="30" t="str">
        <x:v>Possible collection</x:v>
      </x:c>
      <x:c r="K383" s="30" t="str">
        <x:v>Operating</x:v>
      </x:c>
      <x:c r="L383" s="22" t="str">
        <x:v>Pending source matching</x:v>
      </x:c>
      <x:c r="M383" s="30" t="str">
        <x:v>None</x:v>
      </x:c>
      <x:c r="N383" s="47" t="str">
        <x:v>Nov2025.xlsx</x:v>
      </x:c>
    </x:row>
    <x:row r="384">
      <x:c r="A384" s="46" t="n">
        <x:v>45964</x:v>
      </x:c>
      <x:c r="B384" s="30" t="str">
        <x:v>Nov-25</x:v>
      </x:c>
      <x:c r="C384" s="30" t="str">
        <x:v>Credit</x:v>
      </x:c>
      <x:c r="D384" s="19" t="str">
        <x:v>NEFT CR-ICIC0SF0002-VIVISH TECHNOLOGIES PRIVATE LIMITED-MONTVERTBIARRITZCOOPHOUSINGSOCIETYLTD-ICICN42025110452228819</x:v>
      </x:c>
      <x:c r="E384" s="30" t="str">
        <x:v>ICICN42025110452228819</x:v>
      </x:c>
      <x:c r="F384" s="30" t="str">
        <x:v>04/11/25</x:v>
      </x:c>
      <x:c r="G384" s="42"/>
      <x:c r="H384" s="42" t="n">
        <x:v>30017.25</x:v>
      </x:c>
      <x:c r="I384" s="42" t="n">
        <x:v>580617.35</x:v>
      </x:c>
      <x:c r="J384" s="30" t="str">
        <x:v>Possible collection</x:v>
      </x:c>
      <x:c r="K384" s="30" t="str">
        <x:v>Operating</x:v>
      </x:c>
      <x:c r="L384" s="22" t="str">
        <x:v>Pending source matching</x:v>
      </x:c>
      <x:c r="M384" s="30" t="str">
        <x:v>None</x:v>
      </x:c>
      <x:c r="N384" s="47" t="str">
        <x:v>Nov2025.xlsx</x:v>
      </x:c>
    </x:row>
    <x:row r="385">
      <x:c r="A385" s="46" t="n">
        <x:v>45964</x:v>
      </x:c>
      <x:c r="B385" s="30" t="str">
        <x:v>Nov-25</x:v>
      </x:c>
      <x:c r="C385" s="30" t="str">
        <x:v>Debit</x:v>
      </x:c>
      <x:c r="D385" s="19" t="str">
        <x:v>BHAGWAT G FASAGE - CHQ PAID - PASHAN - PUN</x:v>
      </x:c>
      <x:c r="E385" s="30" t="str">
        <x:v>0000000000000846</x:v>
      </x:c>
      <x:c r="F385" s="30" t="str">
        <x:v>04/11/25</x:v>
      </x:c>
      <x:c r="G385" s="42" t="n">
        <x:v>4500</x:v>
      </x:c>
      <x:c r="H385" s="42"/>
      <x:c r="I385" s="42" t="n">
        <x:v>576117.35</x:v>
      </x:c>
      <x:c r="J385" s="30" t="str">
        <x:v>Possible vendor / operating payment</x:v>
      </x:c>
      <x:c r="K385" s="30" t="str">
        <x:v>Operating</x:v>
      </x:c>
      <x:c r="L385" s="22" t="str">
        <x:v>Pending source matching</x:v>
      </x:c>
      <x:c r="M385" s="30" t="str">
        <x:v>None</x:v>
      </x:c>
      <x:c r="N385" s="47" t="str">
        <x:v>Nov2025.xlsx</x:v>
      </x:c>
    </x:row>
    <x:row r="386">
      <x:c r="A386" s="46" t="n">
        <x:v>45964</x:v>
      </x:c>
      <x:c r="B386" s="30" t="str">
        <x:v>Nov-25</x:v>
      </x:c>
      <x:c r="C386" s="30" t="str">
        <x:v>Credit</x:v>
      </x:c>
      <x:c r="D386" s="19" t="str">
        <x:v>NEFT CR-ICIC0SF0002-VIVISH TECHNOLOGIES PRIVATE LIMITED-MONTVERTBIARRITZCOOPHOUSINGSOCIETYLTD-ICICN42025110452769894</x:v>
      </x:c>
      <x:c r="E386" s="30" t="str">
        <x:v>ICICN42025110452769894</x:v>
      </x:c>
      <x:c r="F386" s="30" t="str">
        <x:v>04/11/25</x:v>
      </x:c>
      <x:c r="G386" s="42"/>
      <x:c r="H386" s="42" t="n">
        <x:v>7200</x:v>
      </x:c>
      <x:c r="I386" s="42" t="n">
        <x:v>583317.35</x:v>
      </x:c>
      <x:c r="J386" s="30" t="str">
        <x:v>Possible collection</x:v>
      </x:c>
      <x:c r="K386" s="30" t="str">
        <x:v>Operating</x:v>
      </x:c>
      <x:c r="L386" s="22" t="str">
        <x:v>Pending source matching</x:v>
      </x:c>
      <x:c r="M386" s="30" t="str">
        <x:v>None</x:v>
      </x:c>
      <x:c r="N386" s="47" t="str">
        <x:v>Nov2025.xlsx</x:v>
      </x:c>
    </x:row>
    <x:row r="387">
      <x:c r="A387" s="46" t="n">
        <x:v>45965</x:v>
      </x:c>
      <x:c r="B387" s="30" t="str">
        <x:v>Nov-25</x:v>
      </x:c>
      <x:c r="C387" s="30" t="str">
        <x:v>Debit</x:v>
      </x:c>
      <x:c r="D387" s="19" t="str">
        <x:v>CHQ PAID-CTS S1-MUMB-A STAR ENGINEERS</x:v>
      </x:c>
      <x:c r="E387" s="30" t="str">
        <x:v>0000000000000845</x:v>
      </x:c>
      <x:c r="F387" s="30" t="str">
        <x:v>05/11/25</x:v>
      </x:c>
      <x:c r="G387" s="42" t="n">
        <x:v>54450</x:v>
      </x:c>
      <x:c r="H387" s="42"/>
      <x:c r="I387" s="42" t="n">
        <x:v>528867.35</x:v>
      </x:c>
      <x:c r="J387" s="30" t="str">
        <x:v>Possible vendor / operating payment</x:v>
      </x:c>
      <x:c r="K387" s="30" t="str">
        <x:v>Operating</x:v>
      </x:c>
      <x:c r="L387" s="22" t="str">
        <x:v>Pending source matching</x:v>
      </x:c>
      <x:c r="M387" s="30" t="str">
        <x:v>None</x:v>
      </x:c>
      <x:c r="N387" s="47" t="str">
        <x:v>Nov2025.xlsx</x:v>
      </x:c>
    </x:row>
    <x:row r="388">
      <x:c r="A388" s="46" t="n">
        <x:v>45965</x:v>
      </x:c>
      <x:c r="B388" s="30" t="str">
        <x:v>Nov-25</x:v>
      </x:c>
      <x:c r="C388" s="30" t="str">
        <x:v>Debit</x:v>
      </x:c>
      <x:c r="D388" s="19" t="str">
        <x:v>CHQ PAID-CTS S1-MUMB-MAHENDER D WAGHMARE</x:v>
      </x:c>
      <x:c r="E388" s="30" t="str">
        <x:v>0000000000000837</x:v>
      </x:c>
      <x:c r="F388" s="30" t="str">
        <x:v>05/11/25</x:v>
      </x:c>
      <x:c r="G388" s="42" t="n">
        <x:v>5000</x:v>
      </x:c>
      <x:c r="H388" s="42"/>
      <x:c r="I388" s="42" t="n">
        <x:v>523867.35</x:v>
      </x:c>
      <x:c r="J388" s="30" t="str">
        <x:v>Possible vendor / operating payment</x:v>
      </x:c>
      <x:c r="K388" s="30" t="str">
        <x:v>Operating</x:v>
      </x:c>
      <x:c r="L388" s="22" t="str">
        <x:v>Pending source matching</x:v>
      </x:c>
      <x:c r="M388" s="30" t="str">
        <x:v>None</x:v>
      </x:c>
      <x:c r="N388" s="47" t="str">
        <x:v>Nov2025.xlsx</x:v>
      </x:c>
    </x:row>
    <x:row r="389">
      <x:c r="A389" s="46" t="n">
        <x:v>45965</x:v>
      </x:c>
      <x:c r="B389" s="30" t="str">
        <x:v>Nov-25</x:v>
      </x:c>
      <x:c r="C389" s="30" t="str">
        <x:v>Debit</x:v>
      </x:c>
      <x:c r="D389" s="19" t="str">
        <x:v>CHQ PAID-CTS S1-MUMB-MEHENDEN D WAGHMARE</x:v>
      </x:c>
      <x:c r="E389" s="30" t="str">
        <x:v>0000000000000839</x:v>
      </x:c>
      <x:c r="F389" s="30" t="str">
        <x:v>05/11/25</x:v>
      </x:c>
      <x:c r="G389" s="42" t="n">
        <x:v>5000</x:v>
      </x:c>
      <x:c r="H389" s="42"/>
      <x:c r="I389" s="42" t="n">
        <x:v>518867.35</x:v>
      </x:c>
      <x:c r="J389" s="30" t="str">
        <x:v>Possible vendor / operating payment</x:v>
      </x:c>
      <x:c r="K389" s="30" t="str">
        <x:v>Operating</x:v>
      </x:c>
      <x:c r="L389" s="22" t="str">
        <x:v>Pending source matching</x:v>
      </x:c>
      <x:c r="M389" s="30" t="str">
        <x:v>None</x:v>
      </x:c>
      <x:c r="N389" s="47" t="str">
        <x:v>Nov2025.xlsx</x:v>
      </x:c>
    </x:row>
    <x:row r="390">
      <x:c r="A390" s="46" t="n">
        <x:v>45966</x:v>
      </x:c>
      <x:c r="B390" s="30" t="str">
        <x:v>Nov-25</x:v>
      </x:c>
      <x:c r="C390" s="30" t="str">
        <x:v>Debit</x:v>
      </x:c>
      <x:c r="D390" s="19" t="str">
        <x:v>CHQ PAID-CTS S1-MUMB-SOHAM ENTREPRISES</x:v>
      </x:c>
      <x:c r="E390" s="30" t="str">
        <x:v>0000000000000829</x:v>
      </x:c>
      <x:c r="F390" s="30" t="str">
        <x:v>06/11/25</x:v>
      </x:c>
      <x:c r="G390" s="42" t="n">
        <x:v>5000</x:v>
      </x:c>
      <x:c r="H390" s="42"/>
      <x:c r="I390" s="42" t="n">
        <x:v>513867.35</x:v>
      </x:c>
      <x:c r="J390" s="30" t="str">
        <x:v>Possible vendor / operating payment</x:v>
      </x:c>
      <x:c r="K390" s="30" t="str">
        <x:v>Operating</x:v>
      </x:c>
      <x:c r="L390" s="22" t="str">
        <x:v>Pending source matching</x:v>
      </x:c>
      <x:c r="M390" s="30" t="str">
        <x:v>None</x:v>
      </x:c>
      <x:c r="N390" s="47" t="str">
        <x:v>Nov2025.xlsx</x:v>
      </x:c>
    </x:row>
    <x:row r="391">
      <x:c r="A391" s="46" t="n">
        <x:v>45966</x:v>
      </x:c>
      <x:c r="B391" s="30" t="str">
        <x:v>Nov-25</x:v>
      </x:c>
      <x:c r="C391" s="30" t="str">
        <x:v>Debit</x:v>
      </x:c>
      <x:c r="D391" s="19" t="str">
        <x:v>CHQ RETURN CHGS INCL GST 271025-MIR2630926421631</x:v>
      </x:c>
      <x:c r="E391" s="30" t="str">
        <x:v>0000000000000829</x:v>
      </x:c>
      <x:c r="F391" s="30" t="str">
        <x:v>06/11/25</x:v>
      </x:c>
      <x:c r="G391" s="42" t="n">
        <x:v>59</x:v>
      </x:c>
      <x:c r="H391" s="42"/>
      <x:c r="I391" s="42" t="n">
        <x:v>513808.35</x:v>
      </x:c>
      <x:c r="J391" s="30" t="str">
        <x:v>Tax / statutory payment</x:v>
      </x:c>
      <x:c r="K391" s="30" t="str">
        <x:v>Operating</x:v>
      </x:c>
      <x:c r="L391" s="22" t="str">
        <x:v>Pending source matching</x:v>
      </x:c>
      <x:c r="M391" s="30" t="str">
        <x:v>None</x:v>
      </x:c>
      <x:c r="N391" s="47" t="str">
        <x:v>Nov2025.xlsx</x:v>
      </x:c>
    </x:row>
    <x:row r="392">
      <x:c r="A392" s="46" t="n">
        <x:v>45966</x:v>
      </x:c>
      <x:c r="B392" s="30" t="str">
        <x:v>Nov-25</x:v>
      </x:c>
      <x:c r="C392" s="30" t="str">
        <x:v>Credit</x:v>
      </x:c>
      <x:c r="D392" s="19" t="str">
        <x:v>I/W CHQ RET-INSTRUMENT POST DATED</x:v>
      </x:c>
      <x:c r="E392" s="30" t="str">
        <x:v>0000000000000829</x:v>
      </x:c>
      <x:c r="F392" s="30" t="str">
        <x:v>06/11/25</x:v>
      </x:c>
      <x:c r="G392" s="42"/>
      <x:c r="H392" s="42" t="n">
        <x:v>5000</x:v>
      </x:c>
      <x:c r="I392" s="42" t="n">
        <x:v>518808.35</x:v>
      </x:c>
      <x:c r="J392" s="30" t="str">
        <x:v>Other bank credit</x:v>
      </x:c>
      <x:c r="K392" s="30" t="str">
        <x:v>Other</x:v>
      </x:c>
      <x:c r="L392" s="22" t="str">
        <x:v>Pending source matching</x:v>
      </x:c>
      <x:c r="M392" s="30" t="str">
        <x:v>None</x:v>
      </x:c>
      <x:c r="N392" s="47" t="str">
        <x:v>Nov2025.xlsx</x:v>
      </x:c>
    </x:row>
    <x:row r="393">
      <x:c r="A393" s="46" t="n">
        <x:v>45966</x:v>
      </x:c>
      <x:c r="B393" s="30" t="str">
        <x:v>Nov-25</x:v>
      </x:c>
      <x:c r="C393" s="30" t="str">
        <x:v>Debit</x:v>
      </x:c>
      <x:c r="D393" s="19" t="str">
        <x:v>CHQ PAID-CTS S5-MUMB-DEEPALI G JUINEWAR</x:v>
      </x:c>
      <x:c r="E393" s="30" t="str">
        <x:v>0000000000000836</x:v>
      </x:c>
      <x:c r="F393" s="30" t="str">
        <x:v>06/11/25</x:v>
      </x:c>
      <x:c r="G393" s="42" t="n">
        <x:v>24500</x:v>
      </x:c>
      <x:c r="H393" s="42"/>
      <x:c r="I393" s="42" t="n">
        <x:v>494308.35</x:v>
      </x:c>
      <x:c r="J393" s="30" t="str">
        <x:v>Possible vendor / operating payment</x:v>
      </x:c>
      <x:c r="K393" s="30" t="str">
        <x:v>Operating</x:v>
      </x:c>
      <x:c r="L393" s="22" t="str">
        <x:v>Pending source matching</x:v>
      </x:c>
      <x:c r="M393" s="30" t="str">
        <x:v>None</x:v>
      </x:c>
      <x:c r="N393" s="47" t="str">
        <x:v>Nov2025.xlsx</x:v>
      </x:c>
    </x:row>
    <x:row r="394">
      <x:c r="A394" s="46" t="n">
        <x:v>45966</x:v>
      </x:c>
      <x:c r="B394" s="30" t="str">
        <x:v>Nov-25</x:v>
      </x:c>
      <x:c r="C394" s="30" t="str">
        <x:v>Debit</x:v>
      </x:c>
      <x:c r="D394" s="19" t="str">
        <x:v>CHQ PAID-CTS S5-MUMB-NETWORK SERVICES</x:v>
      </x:c>
      <x:c r="E394" s="30" t="str">
        <x:v>0000000000000840</x:v>
      </x:c>
      <x:c r="F394" s="30" t="str">
        <x:v>06/11/25</x:v>
      </x:c>
      <x:c r="G394" s="42" t="n">
        <x:v>53460</x:v>
      </x:c>
      <x:c r="H394" s="42"/>
      <x:c r="I394" s="42" t="n">
        <x:v>440848.35</x:v>
      </x:c>
      <x:c r="J394" s="30" t="str">
        <x:v>Possible vendor / operating payment</x:v>
      </x:c>
      <x:c r="K394" s="30" t="str">
        <x:v>Operating</x:v>
      </x:c>
      <x:c r="L394" s="22" t="str">
        <x:v>Pending source matching</x:v>
      </x:c>
      <x:c r="M394" s="30" t="str">
        <x:v>None</x:v>
      </x:c>
      <x:c r="N394" s="47" t="str">
        <x:v>Nov2025.xlsx</x:v>
      </x:c>
    </x:row>
    <x:row r="395">
      <x:c r="A395" s="46" t="n">
        <x:v>45966</x:v>
      </x:c>
      <x:c r="B395" s="30" t="str">
        <x:v>Nov-25</x:v>
      </x:c>
      <x:c r="C395" s="30" t="str">
        <x:v>Credit</x:v>
      </x:c>
      <x:c r="D395" s="19" t="str">
        <x:v>NEFT CR-ICIC0SF0002-VIVISH TECHNOLOGIES PRIVATE LIMITED-MONTVERTBIARRITZCOOPHOUSINGSOCIETYLTD-ICICN42025110654255271</x:v>
      </x:c>
      <x:c r="E395" s="30" t="str">
        <x:v>ICICN42025110654255271</x:v>
      </x:c>
      <x:c r="F395" s="30" t="str">
        <x:v>06/11/25</x:v>
      </x:c>
      <x:c r="G395" s="42"/>
      <x:c r="H395" s="42" t="n">
        <x:v>7200</x:v>
      </x:c>
      <x:c r="I395" s="42" t="n">
        <x:v>448048.35</x:v>
      </x:c>
      <x:c r="J395" s="30" t="str">
        <x:v>Possible collection</x:v>
      </x:c>
      <x:c r="K395" s="30" t="str">
        <x:v>Operating</x:v>
      </x:c>
      <x:c r="L395" s="22" t="str">
        <x:v>Pending source matching</x:v>
      </x:c>
      <x:c r="M395" s="30" t="str">
        <x:v>None</x:v>
      </x:c>
      <x:c r="N395" s="47" t="str">
        <x:v>Nov2025.xlsx</x:v>
      </x:c>
    </x:row>
    <x:row r="396">
      <x:c r="A396" s="46" t="n">
        <x:v>45966</x:v>
      </x:c>
      <x:c r="B396" s="30" t="str">
        <x:v>Nov-25</x:v>
      </x:c>
      <x:c r="C396" s="30" t="str">
        <x:v>Credit</x:v>
      </x:c>
      <x:c r="D396" s="19" t="str">
        <x:v>NEFT CR-ICIC0SF0002-VIVISH TECHNOLOGIES PRIVATE LIMITED-MONTVERTBIARRITZCOOPHOUSINGSOCIETYLTD-ICICN42025110654605529</x:v>
      </x:c>
      <x:c r="E396" s="30" t="str">
        <x:v>ICICN42025110654605529</x:v>
      </x:c>
      <x:c r="F396" s="30" t="str">
        <x:v>06/11/25</x:v>
      </x:c>
      <x:c r="G396" s="42"/>
      <x:c r="H396" s="42" t="n">
        <x:v>30051.75</x:v>
      </x:c>
      <x:c r="I396" s="42" t="n">
        <x:v>478100.1</x:v>
      </x:c>
      <x:c r="J396" s="30" t="str">
        <x:v>Possible collection</x:v>
      </x:c>
      <x:c r="K396" s="30" t="str">
        <x:v>Operating</x:v>
      </x:c>
      <x:c r="L396" s="22" t="str">
        <x:v>Pending source matching</x:v>
      </x:c>
      <x:c r="M396" s="30" t="str">
        <x:v>None</x:v>
      </x:c>
      <x:c r="N396" s="47" t="str">
        <x:v>Nov2025.xlsx</x:v>
      </x:c>
    </x:row>
    <x:row r="397">
      <x:c r="A397" s="46" t="n">
        <x:v>45967</x:v>
      </x:c>
      <x:c r="B397" s="30" t="str">
        <x:v>Nov-25</x:v>
      </x:c>
      <x:c r="C397" s="30" t="str">
        <x:v>Debit</x:v>
      </x:c>
      <x:c r="D397" s="19" t="str">
        <x:v>CHQ PAID-CTS S1-MUMB-SHAURYA GROUP</x:v>
      </x:c>
      <x:c r="E397" s="30" t="str">
        <x:v>0000000000000844</x:v>
      </x:c>
      <x:c r="F397" s="30" t="str">
        <x:v>07/11/25</x:v>
      </x:c>
      <x:c r="G397" s="42" t="n">
        <x:v>57420</x:v>
      </x:c>
      <x:c r="H397" s="42"/>
      <x:c r="I397" s="42" t="n">
        <x:v>420680.1</x:v>
      </x:c>
      <x:c r="J397" s="30" t="str">
        <x:v>Possible vendor / operating payment</x:v>
      </x:c>
      <x:c r="K397" s="30" t="str">
        <x:v>Operating</x:v>
      </x:c>
      <x:c r="L397" s="22" t="str">
        <x:v>Pending source matching</x:v>
      </x:c>
      <x:c r="M397" s="30" t="str">
        <x:v>None</x:v>
      </x:c>
      <x:c r="N397" s="47" t="str">
        <x:v>Nov2025.xlsx</x:v>
      </x:c>
    </x:row>
    <x:row r="398">
      <x:c r="A398" s="46" t="n">
        <x:v>45970</x:v>
      </x:c>
      <x:c r="B398" s="30" t="str">
        <x:v>Nov-25</x:v>
      </x:c>
      <x:c r="C398" s="30" t="str">
        <x:v>Debit</x:v>
      </x:c>
      <x:c r="D398" s="19" t="str">
        <x:v>FONI BARDHAN - CHQ PAID - PASHAN - PUN</x:v>
      </x:c>
      <x:c r="E398" s="30" t="str">
        <x:v>0000000000000838</x:v>
      </x:c>
      <x:c r="F398" s="30" t="str">
        <x:v>10/11/25</x:v>
      </x:c>
      <x:c r="G398" s="42" t="n">
        <x:v>9000</x:v>
      </x:c>
      <x:c r="H398" s="42"/>
      <x:c r="I398" s="42" t="n">
        <x:v>411680.1</x:v>
      </x:c>
      <x:c r="J398" s="30" t="str">
        <x:v>Possible vendor / operating payment</x:v>
      </x:c>
      <x:c r="K398" s="30" t="str">
        <x:v>Operating</x:v>
      </x:c>
      <x:c r="L398" s="22" t="str">
        <x:v>Pending source matching</x:v>
      </x:c>
      <x:c r="M398" s="30" t="str">
        <x:v>None</x:v>
      </x:c>
      <x:c r="N398" s="47" t="str">
        <x:v>Nov2025.xlsx</x:v>
      </x:c>
    </x:row>
    <x:row r="399">
      <x:c r="A399" s="46" t="n">
        <x:v>45971</x:v>
      </x:c>
      <x:c r="B399" s="30" t="str">
        <x:v>Nov-25</x:v>
      </x:c>
      <x:c r="C399" s="30" t="str">
        <x:v>Debit</x:v>
      </x:c>
      <x:c r="D399" s="19" t="str">
        <x:v>CHQ PAID-CTS S1-MUMB-SOHAM ENTERPRISES</x:v>
      </x:c>
      <x:c r="E399" s="30" t="str">
        <x:v>0000000000000841</x:v>
      </x:c>
      <x:c r="F399" s="30" t="str">
        <x:v>11/11/25</x:v>
      </x:c>
      <x:c r="G399" s="42" t="n">
        <x:v>5000</x:v>
      </x:c>
      <x:c r="H399" s="42"/>
      <x:c r="I399" s="42" t="n">
        <x:v>406680.1</x:v>
      </x:c>
      <x:c r="J399" s="30" t="str">
        <x:v>Possible vendor / operating payment</x:v>
      </x:c>
      <x:c r="K399" s="30" t="str">
        <x:v>Operating</x:v>
      </x:c>
      <x:c r="L399" s="22" t="str">
        <x:v>Pending source matching</x:v>
      </x:c>
      <x:c r="M399" s="30" t="str">
        <x:v>None</x:v>
      </x:c>
      <x:c r="N399" s="47" t="str">
        <x:v>Nov2025.xlsx</x:v>
      </x:c>
    </x:row>
    <x:row r="400">
      <x:c r="A400" s="46" t="n">
        <x:v>45972</x:v>
      </x:c>
      <x:c r="B400" s="30" t="str">
        <x:v>Nov-25</x:v>
      </x:c>
      <x:c r="C400" s="30" t="str">
        <x:v>Debit</x:v>
      </x:c>
      <x:c r="D400" s="19" t="str">
        <x:v>2450938707825/SBIEPYHIGHTENSIONHTP</x:v>
      </x:c>
      <x:c r="E400" s="30" t="str">
        <x:v>0000253165049639</x:v>
      </x:c>
      <x:c r="F400" s="30" t="str">
        <x:v>12/11/25</x:v>
      </x:c>
      <x:c r="G400" s="42" t="n">
        <x:v>26890</x:v>
      </x:c>
      <x:c r="H400" s="42"/>
      <x:c r="I400" s="42" t="n">
        <x:v>379790.1</x:v>
      </x:c>
      <x:c r="J400" s="30" t="str">
        <x:v>Possible vendor / operating payment</x:v>
      </x:c>
      <x:c r="K400" s="30" t="str">
        <x:v>Operating</x:v>
      </x:c>
      <x:c r="L400" s="22" t="str">
        <x:v>Pending source matching</x:v>
      </x:c>
      <x:c r="M400" s="30" t="str">
        <x:v>None</x:v>
      </x:c>
      <x:c r="N400" s="47" t="str">
        <x:v>Nov2025.xlsx</x:v>
      </x:c>
    </x:row>
    <x:row r="401">
      <x:c r="A401" s="46" t="n">
        <x:v>45972</x:v>
      </x:c>
      <x:c r="B401" s="30" t="str">
        <x:v>Nov-25</x:v>
      </x:c>
      <x:c r="C401" s="30" t="str">
        <x:v>Debit</x:v>
      </x:c>
      <x:c r="D401" s="19" t="str">
        <x:v>5117140833025/SBIEPYHIGHTENSIONHTP</x:v>
      </x:c>
      <x:c r="E401" s="30" t="str">
        <x:v>0000253165050405</x:v>
      </x:c>
      <x:c r="F401" s="30" t="str">
        <x:v>12/11/25</x:v>
      </x:c>
      <x:c r="G401" s="42" t="n">
        <x:v>4390</x:v>
      </x:c>
      <x:c r="H401" s="42"/>
      <x:c r="I401" s="42" t="n">
        <x:v>375400.1</x:v>
      </x:c>
      <x:c r="J401" s="30" t="str">
        <x:v>Possible vendor / operating payment</x:v>
      </x:c>
      <x:c r="K401" s="30" t="str">
        <x:v>Operating</x:v>
      </x:c>
      <x:c r="L401" s="22" t="str">
        <x:v>Pending source matching</x:v>
      </x:c>
      <x:c r="M401" s="30" t="str">
        <x:v>None</x:v>
      </x:c>
      <x:c r="N401" s="47" t="str">
        <x:v>Nov2025.xlsx</x:v>
      </x:c>
    </x:row>
    <x:row r="402">
      <x:c r="A402" s="46" t="n">
        <x:v>45972</x:v>
      </x:c>
      <x:c r="B402" s="30" t="str">
        <x:v>Nov-25</x:v>
      </x:c>
      <x:c r="C402" s="30" t="str">
        <x:v>Debit</x:v>
      </x:c>
      <x:c r="D402" s="19" t="str">
        <x:v>9637061167713/SBIEPYHIGHTENSIONHTP</x:v>
      </x:c>
      <x:c r="E402" s="30" t="str">
        <x:v>0000253165049371</x:v>
      </x:c>
      <x:c r="F402" s="30" t="str">
        <x:v>12/11/25</x:v>
      </x:c>
      <x:c r="G402" s="42" t="n">
        <x:v>5990</x:v>
      </x:c>
      <x:c r="H402" s="42"/>
      <x:c r="I402" s="42" t="n">
        <x:v>369410.1</x:v>
      </x:c>
      <x:c r="J402" s="30" t="str">
        <x:v>Possible vendor / operating payment</x:v>
      </x:c>
      <x:c r="K402" s="30" t="str">
        <x:v>Operating</x:v>
      </x:c>
      <x:c r="L402" s="22" t="str">
        <x:v>Pending source matching</x:v>
      </x:c>
      <x:c r="M402" s="30" t="str">
        <x:v>None</x:v>
      </x:c>
      <x:c r="N402" s="47" t="str">
        <x:v>Nov2025.xlsx</x:v>
      </x:c>
    </x:row>
    <x:row r="403">
      <x:c r="A403" s="46" t="n">
        <x:v>45972</x:v>
      </x:c>
      <x:c r="B403" s="30" t="str">
        <x:v>Nov-25</x:v>
      </x:c>
      <x:c r="C403" s="30" t="str">
        <x:v>Debit</x:v>
      </x:c>
      <x:c r="D403" s="19" t="str">
        <x:v>9202639959513/SBIEPYHIGHTENSIONHTP</x:v>
      </x:c>
      <x:c r="E403" s="30" t="str">
        <x:v>0000253165049569</x:v>
      </x:c>
      <x:c r="F403" s="30" t="str">
        <x:v>12/11/25</x:v>
      </x:c>
      <x:c r="G403" s="42" t="n">
        <x:v>46490</x:v>
      </x:c>
      <x:c r="H403" s="42"/>
      <x:c r="I403" s="42" t="n">
        <x:v>322920.1</x:v>
      </x:c>
      <x:c r="J403" s="30" t="str">
        <x:v>Possible vendor / operating payment</x:v>
      </x:c>
      <x:c r="K403" s="30" t="str">
        <x:v>Operating</x:v>
      </x:c>
      <x:c r="L403" s="22" t="str">
        <x:v>Pending source matching</x:v>
      </x:c>
      <x:c r="M403" s="30" t="str">
        <x:v>None</x:v>
      </x:c>
      <x:c r="N403" s="47" t="str">
        <x:v>Nov2025.xlsx</x:v>
      </x:c>
    </x:row>
    <x:row r="404">
      <x:c r="A404" s="46" t="n">
        <x:v>45972</x:v>
      </x:c>
      <x:c r="B404" s="30" t="str">
        <x:v>Nov-25</x:v>
      </x:c>
      <x:c r="C404" s="30" t="str">
        <x:v>Debit</x:v>
      </x:c>
      <x:c r="D404" s="19" t="str">
        <x:v>9194112100427/SBIEPYHIGHTENSIONHTP</x:v>
      </x:c>
      <x:c r="E404" s="30" t="str">
        <x:v>0000253165049487</x:v>
      </x:c>
      <x:c r="F404" s="30" t="str">
        <x:v>12/11/25</x:v>
      </x:c>
      <x:c r="G404" s="42" t="n">
        <x:v>4900</x:v>
      </x:c>
      <x:c r="H404" s="42"/>
      <x:c r="I404" s="42" t="n">
        <x:v>318020.1</x:v>
      </x:c>
      <x:c r="J404" s="30" t="str">
        <x:v>Possible vendor / operating payment</x:v>
      </x:c>
      <x:c r="K404" s="30" t="str">
        <x:v>Operating</x:v>
      </x:c>
      <x:c r="L404" s="22" t="str">
        <x:v>Pending source matching</x:v>
      </x:c>
      <x:c r="M404" s="30" t="str">
        <x:v>None</x:v>
      </x:c>
      <x:c r="N404" s="47" t="str">
        <x:v>Nov2025.xlsx</x:v>
      </x:c>
    </x:row>
    <x:row r="405">
      <x:c r="A405" s="46" t="n">
        <x:v>45972</x:v>
      </x:c>
      <x:c r="B405" s="30" t="str">
        <x:v>Nov-25</x:v>
      </x:c>
      <x:c r="C405" s="30" t="str">
        <x:v>Debit</x:v>
      </x:c>
      <x:c r="D405" s="19" t="str">
        <x:v>1484236388027/SBIEPYHIGHTENSIONHTP</x:v>
      </x:c>
      <x:c r="E405" s="30" t="str">
        <x:v>0000253165049967</x:v>
      </x:c>
      <x:c r="F405" s="30" t="str">
        <x:v>12/11/25</x:v>
      </x:c>
      <x:c r="G405" s="42" t="n">
        <x:v>5850</x:v>
      </x:c>
      <x:c r="H405" s="42"/>
      <x:c r="I405" s="42" t="n">
        <x:v>312170.1</x:v>
      </x:c>
      <x:c r="J405" s="30" t="str">
        <x:v>Possible vendor / operating payment</x:v>
      </x:c>
      <x:c r="K405" s="30" t="str">
        <x:v>Operating</x:v>
      </x:c>
      <x:c r="L405" s="22" t="str">
        <x:v>Pending source matching</x:v>
      </x:c>
      <x:c r="M405" s="30" t="str">
        <x:v>None</x:v>
      </x:c>
      <x:c r="N405" s="47" t="str">
        <x:v>Nov2025.xlsx</x:v>
      </x:c>
    </x:row>
    <x:row r="406">
      <x:c r="A406" s="46" t="n">
        <x:v>45972</x:v>
      </x:c>
      <x:c r="B406" s="30" t="str">
        <x:v>Nov-25</x:v>
      </x:c>
      <x:c r="C406" s="30" t="str">
        <x:v>Debit</x:v>
      </x:c>
      <x:c r="D406" s="19" t="str">
        <x:v>5967145434513/SBIEPYHIGHTENSIONHTP</x:v>
      </x:c>
      <x:c r="E406" s="30" t="str">
        <x:v>0000253165049974</x:v>
      </x:c>
      <x:c r="F406" s="30" t="str">
        <x:v>12/11/25</x:v>
      </x:c>
      <x:c r="G406" s="42" t="n">
        <x:v>5110</x:v>
      </x:c>
      <x:c r="H406" s="42"/>
      <x:c r="I406" s="42" t="n">
        <x:v>307060.1</x:v>
      </x:c>
      <x:c r="J406" s="30" t="str">
        <x:v>Possible vendor / operating payment</x:v>
      </x:c>
      <x:c r="K406" s="30" t="str">
        <x:v>Operating</x:v>
      </x:c>
      <x:c r="L406" s="22" t="str">
        <x:v>Pending source matching</x:v>
      </x:c>
      <x:c r="M406" s="30" t="str">
        <x:v>None</x:v>
      </x:c>
      <x:c r="N406" s="47" t="str">
        <x:v>Nov2025.xlsx</x:v>
      </x:c>
    </x:row>
    <x:row r="407">
      <x:c r="A407" s="46" t="n">
        <x:v>45972</x:v>
      </x:c>
      <x:c r="B407" s="30" t="str">
        <x:v>Nov-25</x:v>
      </x:c>
      <x:c r="C407" s="30" t="str">
        <x:v>Debit</x:v>
      </x:c>
      <x:c r="D407" s="19" t="str">
        <x:v>0176201559313/SBIEPYHIGHTENSIONHTP</x:v>
      </x:c>
      <x:c r="E407" s="30" t="str">
        <x:v>0000253165051723</x:v>
      </x:c>
      <x:c r="F407" s="30" t="str">
        <x:v>12/11/25</x:v>
      </x:c>
      <x:c r="G407" s="42" t="n">
        <x:v>40390</x:v>
      </x:c>
      <x:c r="H407" s="42"/>
      <x:c r="I407" s="42" t="n">
        <x:v>266670.1</x:v>
      </x:c>
      <x:c r="J407" s="30" t="str">
        <x:v>Possible vendor / operating payment</x:v>
      </x:c>
      <x:c r="K407" s="30" t="str">
        <x:v>Operating</x:v>
      </x:c>
      <x:c r="L407" s="22" t="str">
        <x:v>Pending source matching</x:v>
      </x:c>
      <x:c r="M407" s="30" t="str">
        <x:v>None</x:v>
      </x:c>
      <x:c r="N407" s="47" t="str">
        <x:v>Nov2025.xlsx</x:v>
      </x:c>
    </x:row>
    <x:row r="408">
      <x:c r="A408" s="46" t="n">
        <x:v>45972</x:v>
      </x:c>
      <x:c r="B408" s="30" t="str">
        <x:v>Nov-25</x:v>
      </x:c>
      <x:c r="C408" s="30" t="str">
        <x:v>Debit</x:v>
      </x:c>
      <x:c r="D408" s="19" t="str">
        <x:v>4551211038029/SBIEPYHIGHTENSIONHTP</x:v>
      </x:c>
      <x:c r="E408" s="30" t="str">
        <x:v>0000253165050095</x:v>
      </x:c>
      <x:c r="F408" s="30" t="str">
        <x:v>12/11/25</x:v>
      </x:c>
      <x:c r="G408" s="42" t="n">
        <x:v>3450</x:v>
      </x:c>
      <x:c r="H408" s="42"/>
      <x:c r="I408" s="42" t="n">
        <x:v>263220.1</x:v>
      </x:c>
      <x:c r="J408" s="30" t="str">
        <x:v>Possible vendor / operating payment</x:v>
      </x:c>
      <x:c r="K408" s="30" t="str">
        <x:v>Operating</x:v>
      </x:c>
      <x:c r="L408" s="22" t="str">
        <x:v>Pending source matching</x:v>
      </x:c>
      <x:c r="M408" s="30" t="str">
        <x:v>None</x:v>
      </x:c>
      <x:c r="N408" s="47" t="str">
        <x:v>Nov2025.xlsx</x:v>
      </x:c>
    </x:row>
    <x:row r="409">
      <x:c r="A409" s="46" t="n">
        <x:v>45973</x:v>
      </x:c>
      <x:c r="B409" s="30" t="str">
        <x:v>Nov-25</x:v>
      </x:c>
      <x:c r="C409" s="30" t="str">
        <x:v>Credit</x:v>
      </x:c>
      <x:c r="D409" s="19" t="str">
        <x:v>NEFT CR-ICIC0SF0002-VIVISH TECHNOLOGIES PRIVATE LIMITED-MONTVERTBIARRITZCOOPHOUSINGSOCIETYLTD-ICICN42025111350831867</x:v>
      </x:c>
      <x:c r="E409" s="30" t="str">
        <x:v>ICICN42025111350831867</x:v>
      </x:c>
      <x:c r="F409" s="30" t="str">
        <x:v>13/11/25</x:v>
      </x:c>
      <x:c r="G409" s="42"/>
      <x:c r="H409" s="42" t="n">
        <x:v>7200</x:v>
      </x:c>
      <x:c r="I409" s="42" t="n">
        <x:v>270420.1</x:v>
      </x:c>
      <x:c r="J409" s="30" t="str">
        <x:v>Possible collection</x:v>
      </x:c>
      <x:c r="K409" s="30" t="str">
        <x:v>Operating</x:v>
      </x:c>
      <x:c r="L409" s="22" t="str">
        <x:v>Pending source matching</x:v>
      </x:c>
      <x:c r="M409" s="30" t="str">
        <x:v>None</x:v>
      </x:c>
      <x:c r="N409" s="47" t="str">
        <x:v>Nov2025.xlsx</x:v>
      </x:c>
    </x:row>
    <x:row r="410">
      <x:c r="A410" s="46" t="n">
        <x:v>45975</x:v>
      </x:c>
      <x:c r="B410" s="30" t="str">
        <x:v>Nov-25</x:v>
      </x:c>
      <x:c r="C410" s="30" t="str">
        <x:v>Credit</x:v>
      </x:c>
      <x:c r="D410" s="19" t="str">
        <x:v>UPI-MR ABHINAV KUMAR JAI-ABHINAVCANDO-2@OKAXIS-MAHB0001144-531953744522-UPI</x:v>
      </x:c>
      <x:c r="E410" s="30" t="str">
        <x:v>0000531953744522</x:v>
      </x:c>
      <x:c r="F410" s="30" t="str">
        <x:v>15/11/25</x:v>
      </x:c>
      <x:c r="G410" s="42"/>
      <x:c r="H410" s="42" t="n">
        <x:v>2000</x:v>
      </x:c>
      <x:c r="I410" s="42" t="n">
        <x:v>272420.1</x:v>
      </x:c>
      <x:c r="J410" s="30" t="str">
        <x:v>Possible collection</x:v>
      </x:c>
      <x:c r="K410" s="30" t="str">
        <x:v>Operating</x:v>
      </x:c>
      <x:c r="L410" s="22" t="str">
        <x:v>Pending source matching</x:v>
      </x:c>
      <x:c r="M410" s="30" t="str">
        <x:v>None</x:v>
      </x:c>
      <x:c r="N410" s="47" t="str">
        <x:v>Nov2025.xlsx</x:v>
      </x:c>
    </x:row>
    <x:row r="411">
      <x:c r="A411" s="46" t="n">
        <x:v>45975</x:v>
      </x:c>
      <x:c r="B411" s="30" t="str">
        <x:v>Nov-25</x:v>
      </x:c>
      <x:c r="C411" s="30" t="str">
        <x:v>Credit</x:v>
      </x:c>
      <x:c r="D411" s="19" t="str">
        <x:v>NEFT CR-ICIC0SF0002-VIVISH TECHNOLOGIES PRIVATE LIMITED-MONTVERTBIARRITZCOOPHOUSINGSOCIETYLTD-ICICN42025111552099692</x:v>
      </x:c>
      <x:c r="E411" s="30" t="str">
        <x:v>ICICN42025111552099692</x:v>
      </x:c>
      <x:c r="F411" s="30" t="str">
        <x:v>15/11/25</x:v>
      </x:c>
      <x:c r="G411" s="42"/>
      <x:c r="H411" s="42" t="n">
        <x:v>32660.82</x:v>
      </x:c>
      <x:c r="I411" s="42" t="n">
        <x:v>305080.92</x:v>
      </x:c>
      <x:c r="J411" s="30" t="str">
        <x:v>Possible collection</x:v>
      </x:c>
      <x:c r="K411" s="30" t="str">
        <x:v>Operating</x:v>
      </x:c>
      <x:c r="L411" s="22" t="str">
        <x:v>Pending source matching</x:v>
      </x:c>
      <x:c r="M411" s="30" t="str">
        <x:v>None</x:v>
      </x:c>
      <x:c r="N411" s="47" t="str">
        <x:v>Nov2025.xlsx</x:v>
      </x:c>
    </x:row>
    <x:row r="412">
      <x:c r="A412" s="46" t="n">
        <x:v>45978</x:v>
      </x:c>
      <x:c r="B412" s="30" t="str">
        <x:v>Nov-25</x:v>
      </x:c>
      <x:c r="C412" s="30" t="str">
        <x:v>Debit</x:v>
      </x:c>
      <x:c r="D412" s="19" t="str">
        <x:v>SELF - CHQ PAID - PASHAN - PUN</x:v>
      </x:c>
      <x:c r="E412" s="30" t="str">
        <x:v>0000000000000850</x:v>
      </x:c>
      <x:c r="F412" s="30" t="str">
        <x:v>18/11/25</x:v>
      </x:c>
      <x:c r="G412" s="42" t="n">
        <x:v>17437</x:v>
      </x:c>
      <x:c r="H412" s="42"/>
      <x:c r="I412" s="42" t="n">
        <x:v>287643.92</x:v>
      </x:c>
      <x:c r="J412" s="30" t="str">
        <x:v>Possible vendor / operating payment</x:v>
      </x:c>
      <x:c r="K412" s="30" t="str">
        <x:v>Operating</x:v>
      </x:c>
      <x:c r="L412" s="22" t="str">
        <x:v>Pending source matching</x:v>
      </x:c>
      <x:c r="M412" s="30" t="str">
        <x:v>None</x:v>
      </x:c>
      <x:c r="N412" s="47" t="str">
        <x:v>Nov2025.xlsx</x:v>
      </x:c>
    </x:row>
    <x:row r="413">
      <x:c r="A413" s="46" t="n">
        <x:v>45978</x:v>
      </x:c>
      <x:c r="B413" s="30" t="str">
        <x:v>Nov-25</x:v>
      </x:c>
      <x:c r="C413" s="30" t="str">
        <x:v>Debit</x:v>
      </x:c>
      <x:c r="D413" s="19" t="str">
        <x:v>CHQ PAID-CTS S5-MUMB-DESHMUKH ABHIJIT JA</x:v>
      </x:c>
      <x:c r="E413" s="30" t="str">
        <x:v>0000000000000849</x:v>
      </x:c>
      <x:c r="F413" s="30" t="str">
        <x:v>18/11/25</x:v>
      </x:c>
      <x:c r="G413" s="42" t="n">
        <x:v>6130</x:v>
      </x:c>
      <x:c r="H413" s="42"/>
      <x:c r="I413" s="42" t="n">
        <x:v>281513.92</x:v>
      </x:c>
      <x:c r="J413" s="30" t="str">
        <x:v>Possible vendor / operating payment</x:v>
      </x:c>
      <x:c r="K413" s="30" t="str">
        <x:v>Operating</x:v>
      </x:c>
      <x:c r="L413" s="22" t="str">
        <x:v>Pending source matching</x:v>
      </x:c>
      <x:c r="M413" s="30" t="str">
        <x:v>None</x:v>
      </x:c>
      <x:c r="N413" s="47" t="str">
        <x:v>Nov2025.xlsx</x:v>
      </x:c>
    </x:row>
    <x:row r="414">
      <x:c r="A414" s="46" t="n">
        <x:v>45979</x:v>
      </x:c>
      <x:c r="B414" s="30" t="str">
        <x:v>Nov-25</x:v>
      </x:c>
      <x:c r="C414" s="30" t="str">
        <x:v>Credit</x:v>
      </x:c>
      <x:c r="D414" s="19" t="str">
        <x:v>CHQ DEP MICR8 CLG MODEL COLONY - CTS CLG: JAIVEER A YADAV :NORTH KANARA G.S.B. COOP BANK  LTD</x:v>
      </x:c>
      <x:c r="E414" s="30" t="str">
        <x:v>0000000000014926</x:v>
      </x:c>
      <x:c r="F414" s="30" t="str">
        <x:v>19/11/25</x:v>
      </x:c>
      <x:c r="G414" s="42"/>
      <x:c r="H414" s="42" t="n">
        <x:v>32400</x:v>
      </x:c>
      <x:c r="I414" s="42" t="n">
        <x:v>313913.92</x:v>
      </x:c>
      <x:c r="J414" s="30" t="str">
        <x:v>Other bank credit</x:v>
      </x:c>
      <x:c r="K414" s="30" t="str">
        <x:v>Other</x:v>
      </x:c>
      <x:c r="L414" s="22" t="str">
        <x:v>Pending source matching</x:v>
      </x:c>
      <x:c r="M414" s="30" t="str">
        <x:v>None</x:v>
      </x:c>
      <x:c r="N414" s="47" t="str">
        <x:v>Nov2025.xlsx</x:v>
      </x:c>
    </x:row>
    <x:row r="415">
      <x:c r="A415" s="46" t="n">
        <x:v>45979</x:v>
      </x:c>
      <x:c r="B415" s="30" t="str">
        <x:v>Nov-25</x:v>
      </x:c>
      <x:c r="C415" s="30" t="str">
        <x:v>Debit</x:v>
      </x:c>
      <x:c r="D415" s="19" t="str">
        <x:v>CHQ PAID-CTS S3-MUMB-KANE ELEVATOR INDIA</x:v>
      </x:c>
      <x:c r="E415" s="30" t="str">
        <x:v>0000000000000848</x:v>
      </x:c>
      <x:c r="F415" s="30" t="str">
        <x:v>19/11/25</x:v>
      </x:c>
      <x:c r="G415" s="42" t="n">
        <x:v>127897</x:v>
      </x:c>
      <x:c r="H415" s="42"/>
      <x:c r="I415" s="42" t="n">
        <x:v>186016.92</x:v>
      </x:c>
      <x:c r="J415" s="30" t="str">
        <x:v>Possible vendor / operating payment</x:v>
      </x:c>
      <x:c r="K415" s="30" t="str">
        <x:v>Operating</x:v>
      </x:c>
      <x:c r="L415" s="22" t="str">
        <x:v>Pending source matching</x:v>
      </x:c>
      <x:c r="M415" s="30" t="str">
        <x:v>None</x:v>
      </x:c>
      <x:c r="N415" s="47" t="str">
        <x:v>Nov2025.xlsx</x:v>
      </x:c>
    </x:row>
    <x:row r="416">
      <x:c r="A416" s="46" t="n">
        <x:v>45981</x:v>
      </x:c>
      <x:c r="B416" s="30" t="str">
        <x:v>Nov-25</x:v>
      </x:c>
      <x:c r="C416" s="30" t="str">
        <x:v>Debit</x:v>
      </x:c>
      <x:c r="D416" s="19" t="str">
        <x:v>CHQ RETURN CHGS INCL GST 061125-MIR2632371841277</x:v>
      </x:c>
      <x:c r="E416" s="30" t="str">
        <x:v>0000000000000829</x:v>
      </x:c>
      <x:c r="F416" s="30" t="str">
        <x:v>21/11/25</x:v>
      </x:c>
      <x:c r="G416" s="42" t="n">
        <x:v>59</x:v>
      </x:c>
      <x:c r="H416" s="42"/>
      <x:c r="I416" s="42" t="n">
        <x:v>185957.92</x:v>
      </x:c>
      <x:c r="J416" s="30" t="str">
        <x:v>Tax / statutory payment</x:v>
      </x:c>
      <x:c r="K416" s="30" t="str">
        <x:v>Operating</x:v>
      </x:c>
      <x:c r="L416" s="22" t="str">
        <x:v>Pending source matching</x:v>
      </x:c>
      <x:c r="M416" s="30" t="str">
        <x:v>None</x:v>
      </x:c>
      <x:c r="N416" s="47" t="str">
        <x:v>Nov2025.xlsx</x:v>
      </x:c>
    </x:row>
    <x:row r="417">
      <x:c r="A417" s="46" t="n">
        <x:v>45981</x:v>
      </x:c>
      <x:c r="B417" s="30" t="str">
        <x:v>Nov-25</x:v>
      </x:c>
      <x:c r="C417" s="30" t="str">
        <x:v>Debit</x:v>
      </x:c>
      <x:c r="D417" s="19" t="str">
        <x:v>CHQ PAID-CTS S6-MUMB-GANESH PUMPS AND AU</x:v>
      </x:c>
      <x:c r="E417" s="30" t="str">
        <x:v>0000000000000842</x:v>
      </x:c>
      <x:c r="F417" s="30" t="str">
        <x:v>21/11/25</x:v>
      </x:c>
      <x:c r="G417" s="42" t="n">
        <x:v>3820</x:v>
      </x:c>
      <x:c r="H417" s="42"/>
      <x:c r="I417" s="42" t="n">
        <x:v>182137.92</x:v>
      </x:c>
      <x:c r="J417" s="30" t="str">
        <x:v>Possible vendor / operating payment</x:v>
      </x:c>
      <x:c r="K417" s="30" t="str">
        <x:v>Operating</x:v>
      </x:c>
      <x:c r="L417" s="22" t="str">
        <x:v>Pending source matching</x:v>
      </x:c>
      <x:c r="M417" s="30" t="str">
        <x:v>None</x:v>
      </x:c>
      <x:c r="N417" s="47" t="str">
        <x:v>Nov2025.xlsx</x:v>
      </x:c>
    </x:row>
    <x:row r="418">
      <x:c r="A418" s="46" t="n">
        <x:v>45985</x:v>
      </x:c>
      <x:c r="B418" s="30" t="str">
        <x:v>Nov-25</x:v>
      </x:c>
      <x:c r="C418" s="30" t="str">
        <x:v>Credit</x:v>
      </x:c>
      <x:c r="D418" s="19" t="str">
        <x:v>NEFT CR-ICIC0SF0002-VIVISH TECHNOLOGIES PRIVATE LIMITED-MONTVERTBIARRITZCOOPHOUSINGSOCIETYLTD-IN42532957728752</x:v>
      </x:c>
      <x:c r="E418" s="30" t="str">
        <x:v>IN42532957728752</x:v>
      </x:c>
      <x:c r="F418" s="30" t="str">
        <x:v>25/11/25</x:v>
      </x:c>
      <x:c r="G418" s="42"/>
      <x:c r="H418" s="42" t="n">
        <x:v>32847.12</x:v>
      </x:c>
      <x:c r="I418" s="42" t="n">
        <x:v>214985.04</x:v>
      </x:c>
      <x:c r="J418" s="30" t="str">
        <x:v>Possible collection</x:v>
      </x:c>
      <x:c r="K418" s="30" t="str">
        <x:v>Operating</x:v>
      </x:c>
      <x:c r="L418" s="22" t="str">
        <x:v>Pending source matching</x:v>
      </x:c>
      <x:c r="M418" s="30" t="str">
        <x:v>None</x:v>
      </x:c>
      <x:c r="N418" s="47" t="str">
        <x:v>Nov2025.xlsx</x:v>
      </x:c>
    </x:row>
    <x:row r="419">
      <x:c r="A419" s="46" t="n">
        <x:v>45985</x:v>
      </x:c>
      <x:c r="B419" s="30" t="str">
        <x:v>Nov-25</x:v>
      </x:c>
      <x:c r="C419" s="30" t="str">
        <x:v>Credit</x:v>
      </x:c>
      <x:c r="D419" s="19" t="str">
        <x:v>NEFT CR-ICIC0SF0002-VIVISH TECHNOLOGIES PRIVATE LIMITED-MONTVERTBIARRITZCOOPHOUSINGSOCIETYLTD-IN42532957768960</x:v>
      </x:c>
      <x:c r="E419" s="30" t="str">
        <x:v>IN42532957768960</x:v>
      </x:c>
      <x:c r="F419" s="30" t="str">
        <x:v>25/11/25</x:v>
      </x:c>
      <x:c r="G419" s="42"/>
      <x:c r="H419" s="42" t="n">
        <x:v>32828.49</x:v>
      </x:c>
      <x:c r="I419" s="42" t="n">
        <x:v>247813.53</x:v>
      </x:c>
      <x:c r="J419" s="30" t="str">
        <x:v>Possible collection</x:v>
      </x:c>
      <x:c r="K419" s="30" t="str">
        <x:v>Operating</x:v>
      </x:c>
      <x:c r="L419" s="22" t="str">
        <x:v>Pending source matching</x:v>
      </x:c>
      <x:c r="M419" s="30" t="str">
        <x:v>None</x:v>
      </x:c>
      <x:c r="N419" s="47" t="str">
        <x:v>Nov2025.xlsx</x:v>
      </x:c>
    </x:row>
    <x:row r="420">
      <x:c r="A420" s="46" t="n">
        <x:v>45990</x:v>
      </x:c>
      <x:c r="B420" s="30" t="str">
        <x:v>Nov-25</x:v>
      </x:c>
      <x:c r="C420" s="30" t="str">
        <x:v>Credit</x:v>
      </x:c>
      <x:c r="D420" s="19" t="str">
        <x:v>INTEREST CREDIT 50301228184812</x:v>
      </x:c>
      <x:c r="E420" s="30" t="str">
        <x:v>3304220251130773</x:v>
      </x:c>
      <x:c r="F420" s="30" t="str">
        <x:v>30/11/25</x:v>
      </x:c>
      <x:c r="G420" s="42"/>
      <x:c r="H420" s="42" t="n">
        <x:v>1886</x:v>
      </x:c>
      <x:c r="I420" s="42" t="n">
        <x:v>249699.53</x:v>
      </x:c>
      <x:c r="J420" s="30" t="str">
        <x:v>Interest income</x:v>
      </x:c>
      <x:c r="K420" s="30" t="str">
        <x:v>Investment</x:v>
      </x:c>
      <x:c r="L420" s="22" t="str">
        <x:v>Pending source matching</x:v>
      </x:c>
      <x:c r="M420" s="30" t="str">
        <x:v>None</x:v>
      </x:c>
      <x:c r="N420" s="47" t="str">
        <x:v>Nov2025.xlsx</x:v>
      </x:c>
    </x:row>
    <x:row r="421">
      <x:c r="A421" s="46" t="n">
        <x:v>45990</x:v>
      </x:c>
      <x:c r="B421" s="30" t="str">
        <x:v>Nov-25</x:v>
      </x:c>
      <x:c r="C421" s="30" t="str">
        <x:v>Credit</x:v>
      </x:c>
      <x:c r="D421" s="19" t="str">
        <x:v>PRIN AND INT AUTO_REDEEM 50301228184812</x:v>
      </x:c>
      <x:c r="E421" s="30" t="str">
        <x:v>3304220251130808</x:v>
      </x:c>
      <x:c r="F421" s="30" t="str">
        <x:v>30/11/25</x:v>
      </x:c>
      <x:c r="G421" s="42"/>
      <x:c r="H421" s="42" t="n">
        <x:v>300000</x:v>
      </x:c>
      <x:c r="I421" s="42" t="n">
        <x:v>549699.53</x:v>
      </x:c>
      <x:c r="J421" s="30" t="str">
        <x:v>FD maturity / redemption</x:v>
      </x:c>
      <x:c r="K421" s="30" t="str">
        <x:v>Investment</x:v>
      </x:c>
      <x:c r="L421" s="22" t="str">
        <x:v>Pending source matching</x:v>
      </x:c>
      <x:c r="M421" s="30" t="str">
        <x:v>None</x:v>
      </x:c>
      <x:c r="N421" s="47" t="str">
        <x:v>Nov2025.xlsx</x:v>
      </x:c>
    </x:row>
    <x:row r="422">
      <x:c r="A422" s="46" t="n">
        <x:v>45991</x:v>
      </x:c>
      <x:c r="B422" s="30" t="str">
        <x:v>Dec-25</x:v>
      </x:c>
      <x:c r="C422" s="30" t="str">
        <x:v>Credit</x:v>
      </x:c>
      <x:c r="D422" s="19" t="str">
        <x:v>NEFT CR-ICIC0SF0002-VIVISH TECHNOLOGIES PRIVATE LIMITED-MONTVERTBIARRITZCOOPHOUSINGSOCIETYLTD-IN42533551558768</x:v>
      </x:c>
      <x:c r="E422" s="30" t="str">
        <x:v>IN42533551558768</x:v>
      </x:c>
      <x:c r="F422" s="30" t="str">
        <x:v>01/12/25</x:v>
      </x:c>
      <x:c r="G422" s="42"/>
      <x:c r="H422" s="42" t="n">
        <x:v>30517.5</x:v>
      </x:c>
      <x:c r="I422" s="42" t="n">
        <x:v>580217.03</x:v>
      </x:c>
      <x:c r="J422" s="30" t="str">
        <x:v>Possible collection</x:v>
      </x:c>
      <x:c r="K422" s="30" t="str">
        <x:v>Operating</x:v>
      </x:c>
      <x:c r="L422" s="22" t="str">
        <x:v>Pending source matching</x:v>
      </x:c>
      <x:c r="M422" s="30" t="str">
        <x:v>None</x:v>
      </x:c>
      <x:c r="N422" s="47" t="str">
        <x:v>Dec2025.xlsx</x:v>
      </x:c>
    </x:row>
    <x:row r="423">
      <x:c r="A423" s="46" t="n">
        <x:v>45994</x:v>
      </x:c>
      <x:c r="B423" s="30" t="str">
        <x:v>Dec-25</x:v>
      </x:c>
      <x:c r="C423" s="30" t="str">
        <x:v>Credit</x:v>
      </x:c>
      <x:c r="D423" s="19" t="str">
        <x:v>NEFT CR-ICIC0SF0002-VIVISH TECHNOLOGIES PRIVATE LIMITED-MONTVERTBIARRITZCOOPHOUSINGSOCIETYLTD-IN42533853511448</x:v>
      </x:c>
      <x:c r="E423" s="30" t="str">
        <x:v>IN42533853511448</x:v>
      </x:c>
      <x:c r="F423" s="30" t="str">
        <x:v>04/12/25</x:v>
      </x:c>
      <x:c r="G423" s="42"/>
      <x:c r="H423" s="42" t="n">
        <x:v>30569.25</x:v>
      </x:c>
      <x:c r="I423" s="42" t="n">
        <x:v>610786.28</x:v>
      </x:c>
      <x:c r="J423" s="30" t="str">
        <x:v>Possible collection</x:v>
      </x:c>
      <x:c r="K423" s="30" t="str">
        <x:v>Operating</x:v>
      </x:c>
      <x:c r="L423" s="22" t="str">
        <x:v>Pending source matching</x:v>
      </x:c>
      <x:c r="M423" s="30" t="str">
        <x:v>None</x:v>
      </x:c>
      <x:c r="N423" s="47" t="str">
        <x:v>Dec2025.xlsx</x:v>
      </x:c>
    </x:row>
    <x:row r="424">
      <x:c r="A424" s="46" t="n">
        <x:v>45996</x:v>
      </x:c>
      <x:c r="B424" s="30" t="str">
        <x:v>Dec-25</x:v>
      </x:c>
      <x:c r="C424" s="30" t="str">
        <x:v>Debit</x:v>
      </x:c>
      <x:c r="D424" s="19" t="str">
        <x:v>BHAGWAT G FASAGE - CHQ PAID - PASHAN - PUN</x:v>
      </x:c>
      <x:c r="E424" s="30" t="str">
        <x:v>0000000000000856</x:v>
      </x:c>
      <x:c r="F424" s="30" t="str">
        <x:v>06/12/25</x:v>
      </x:c>
      <x:c r="G424" s="42" t="n">
        <x:v>4500</x:v>
      </x:c>
      <x:c r="H424" s="42"/>
      <x:c r="I424" s="42" t="n">
        <x:v>606286.28</x:v>
      </x:c>
      <x:c r="J424" s="30" t="str">
        <x:v>Possible vendor / operating payment</x:v>
      </x:c>
      <x:c r="K424" s="30" t="str">
        <x:v>Operating</x:v>
      </x:c>
      <x:c r="L424" s="22" t="str">
        <x:v>Pending source matching</x:v>
      </x:c>
      <x:c r="M424" s="30" t="str">
        <x:v>None</x:v>
      </x:c>
      <x:c r="N424" s="47" t="str">
        <x:v>Dec2025.xlsx</x:v>
      </x:c>
    </x:row>
    <x:row r="425">
      <x:c r="A425" s="46" t="n">
        <x:v>45996</x:v>
      </x:c>
      <x:c r="B425" s="30" t="str">
        <x:v>Dec-25</x:v>
      </x:c>
      <x:c r="C425" s="30" t="str">
        <x:v>Debit</x:v>
      </x:c>
      <x:c r="D425" s="19" t="str">
        <x:v>CHQ PAID-CTS S5-MUMB-DEEPAK B GAIKWAD</x:v>
      </x:c>
      <x:c r="E425" s="30" t="str">
        <x:v>0000000000000852</x:v>
      </x:c>
      <x:c r="F425" s="30" t="str">
        <x:v>06/12/25</x:v>
      </x:c>
      <x:c r="G425" s="42" t="n">
        <x:v>24500</x:v>
      </x:c>
      <x:c r="H425" s="42"/>
      <x:c r="I425" s="42" t="n">
        <x:v>581786.28</x:v>
      </x:c>
      <x:c r="J425" s="30" t="str">
        <x:v>Possible vendor / operating payment</x:v>
      </x:c>
      <x:c r="K425" s="30" t="str">
        <x:v>Operating</x:v>
      </x:c>
      <x:c r="L425" s="22" t="str">
        <x:v>Pending source matching</x:v>
      </x:c>
      <x:c r="M425" s="30" t="str">
        <x:v>None</x:v>
      </x:c>
      <x:c r="N425" s="47" t="str">
        <x:v>Dec2025.xlsx</x:v>
      </x:c>
    </x:row>
    <x:row r="426">
      <x:c r="A426" s="46" t="n">
        <x:v>45996</x:v>
      </x:c>
      <x:c r="B426" s="30" t="str">
        <x:v>Dec-25</x:v>
      </x:c>
      <x:c r="C426" s="30" t="str">
        <x:v>Debit</x:v>
      </x:c>
      <x:c r="D426" s="19" t="str">
        <x:v>CHQ PAID-CTS S5-MUMB-NETWORK SEEVICES</x:v>
      </x:c>
      <x:c r="E426" s="30" t="str">
        <x:v>0000000000000857</x:v>
      </x:c>
      <x:c r="F426" s="30" t="str">
        <x:v>06/12/25</x:v>
      </x:c>
      <x:c r="G426" s="42" t="n">
        <x:v>53460</x:v>
      </x:c>
      <x:c r="H426" s="42"/>
      <x:c r="I426" s="42" t="n">
        <x:v>528326.28</x:v>
      </x:c>
      <x:c r="J426" s="30" t="str">
        <x:v>Possible vendor / operating payment</x:v>
      </x:c>
      <x:c r="K426" s="30" t="str">
        <x:v>Operating</x:v>
      </x:c>
      <x:c r="L426" s="22" t="str">
        <x:v>Pending source matching</x:v>
      </x:c>
      <x:c r="M426" s="30" t="str">
        <x:v>None</x:v>
      </x:c>
      <x:c r="N426" s="47" t="str">
        <x:v>Dec2025.xlsx</x:v>
      </x:c>
    </x:row>
    <x:row r="427">
      <x:c r="A427" s="46" t="n">
        <x:v>45996</x:v>
      </x:c>
      <x:c r="B427" s="30" t="str">
        <x:v>Dec-25</x:v>
      </x:c>
      <x:c r="C427" s="30" t="str">
        <x:v>Debit</x:v>
      </x:c>
      <x:c r="D427" s="19" t="str">
        <x:v>CHQ PAID-CTS S6-MUMB-SHAVERA GROUP</x:v>
      </x:c>
      <x:c r="E427" s="30" t="str">
        <x:v>0000000000000858</x:v>
      </x:c>
      <x:c r="F427" s="30" t="str">
        <x:v>06/12/25</x:v>
      </x:c>
      <x:c r="G427" s="42" t="n">
        <x:v>57420</x:v>
      </x:c>
      <x:c r="H427" s="42"/>
      <x:c r="I427" s="42" t="n">
        <x:v>470906.28</x:v>
      </x:c>
      <x:c r="J427" s="30" t="str">
        <x:v>Possible vendor / operating payment</x:v>
      </x:c>
      <x:c r="K427" s="30" t="str">
        <x:v>Operating</x:v>
      </x:c>
      <x:c r="L427" s="22" t="str">
        <x:v>Pending source matching</x:v>
      </x:c>
      <x:c r="M427" s="30" t="str">
        <x:v>None</x:v>
      </x:c>
      <x:c r="N427" s="47" t="str">
        <x:v>Dec2025.xlsx</x:v>
      </x:c>
    </x:row>
    <x:row r="428">
      <x:c r="A428" s="46" t="n">
        <x:v>45998</x:v>
      </x:c>
      <x:c r="B428" s="30" t="str">
        <x:v>Dec-25</x:v>
      </x:c>
      <x:c r="C428" s="30" t="str">
        <x:v>Credit</x:v>
      </x:c>
      <x:c r="D428" s="19" t="str">
        <x:v>CHQ DEP MICR8 CLG MODEL COLONY - CTS CLG: BRIJESH SINGH :STATE BANK OF INDIA</x:v>
      </x:c>
      <x:c r="E428" s="30" t="str">
        <x:v>0000000000548085</x:v>
      </x:c>
      <x:c r="F428" s="30" t="str">
        <x:v>08/12/25</x:v>
      </x:c>
      <x:c r="G428" s="42"/>
      <x:c r="H428" s="42" t="n">
        <x:v>30000</x:v>
      </x:c>
      <x:c r="I428" s="42" t="n">
        <x:v>500906.28</x:v>
      </x:c>
      <x:c r="J428" s="30" t="str">
        <x:v>Other bank credit</x:v>
      </x:c>
      <x:c r="K428" s="30" t="str">
        <x:v>Other</x:v>
      </x:c>
      <x:c r="L428" s="22" t="str">
        <x:v>Pending source matching</x:v>
      </x:c>
      <x:c r="M428" s="30" t="str">
        <x:v>None</x:v>
      </x:c>
      <x:c r="N428" s="47" t="str">
        <x:v>Dec2025.xlsx</x:v>
      </x:c>
    </x:row>
    <x:row r="429">
      <x:c r="A429" s="46" t="n">
        <x:v>45999</x:v>
      </x:c>
      <x:c r="B429" s="30" t="str">
        <x:v>Dec-25</x:v>
      </x:c>
      <x:c r="C429" s="30" t="str">
        <x:v>Debit</x:v>
      </x:c>
      <x:c r="D429" s="19" t="str">
        <x:v>CHQ PAID-CTS S1-MUMB-NOUSHAD SARFUUDDIN</x:v>
      </x:c>
      <x:c r="E429" s="30" t="str">
        <x:v>0000000000000862</x:v>
      </x:c>
      <x:c r="F429" s="30" t="str">
        <x:v>09/12/25</x:v>
      </x:c>
      <x:c r="G429" s="42" t="n">
        <x:v>1300</x:v>
      </x:c>
      <x:c r="H429" s="42"/>
      <x:c r="I429" s="42" t="n">
        <x:v>499606.28</x:v>
      </x:c>
      <x:c r="J429" s="30" t="str">
        <x:v>Possible vendor / operating payment</x:v>
      </x:c>
      <x:c r="K429" s="30" t="str">
        <x:v>Operating</x:v>
      </x:c>
      <x:c r="L429" s="22" t="str">
        <x:v>Pending source matching</x:v>
      </x:c>
      <x:c r="M429" s="30" t="str">
        <x:v>None</x:v>
      </x:c>
      <x:c r="N429" s="47" t="str">
        <x:v>Dec2025.xlsx</x:v>
      </x:c>
    </x:row>
    <x:row r="430">
      <x:c r="A430" s="46" t="n">
        <x:v>45999</x:v>
      </x:c>
      <x:c r="B430" s="30" t="str">
        <x:v>Dec-25</x:v>
      </x:c>
      <x:c r="C430" s="30" t="str">
        <x:v>Debit</x:v>
      </x:c>
      <x:c r="D430" s="19" t="str">
        <x:v>CHQ PAID-CTS S1-MUMB-MABENDEN WAGHMARE</x:v>
      </x:c>
      <x:c r="E430" s="30" t="str">
        <x:v>0000000000000853</x:v>
      </x:c>
      <x:c r="F430" s="30" t="str">
        <x:v>09/12/25</x:v>
      </x:c>
      <x:c r="G430" s="42" t="n">
        <x:v>5000</x:v>
      </x:c>
      <x:c r="H430" s="42"/>
      <x:c r="I430" s="42" t="n">
        <x:v>494606.28</x:v>
      </x:c>
      <x:c r="J430" s="30" t="str">
        <x:v>Possible vendor / operating payment</x:v>
      </x:c>
      <x:c r="K430" s="30" t="str">
        <x:v>Operating</x:v>
      </x:c>
      <x:c r="L430" s="22" t="str">
        <x:v>Pending source matching</x:v>
      </x:c>
      <x:c r="M430" s="30" t="str">
        <x:v>None</x:v>
      </x:c>
      <x:c r="N430" s="47" t="str">
        <x:v>Dec2025.xlsx</x:v>
      </x:c>
    </x:row>
    <x:row r="431">
      <x:c r="A431" s="46" t="n">
        <x:v>45999</x:v>
      </x:c>
      <x:c r="B431" s="30" t="str">
        <x:v>Dec-25</x:v>
      </x:c>
      <x:c r="C431" s="30" t="str">
        <x:v>Debit</x:v>
      </x:c>
      <x:c r="D431" s="19" t="str">
        <x:v>CHQ PAID-CTS S4-MUMB-SOHAM ENTCERCISES</x:v>
      </x:c>
      <x:c r="E431" s="30" t="str">
        <x:v>0000000000000859</x:v>
      </x:c>
      <x:c r="F431" s="30" t="str">
        <x:v>09/12/25</x:v>
      </x:c>
      <x:c r="G431" s="42" t="n">
        <x:v>2500</x:v>
      </x:c>
      <x:c r="H431" s="42"/>
      <x:c r="I431" s="42" t="n">
        <x:v>492106.28</x:v>
      </x:c>
      <x:c r="J431" s="30" t="str">
        <x:v>Possible vendor / operating payment</x:v>
      </x:c>
      <x:c r="K431" s="30" t="str">
        <x:v>Operating</x:v>
      </x:c>
      <x:c r="L431" s="22" t="str">
        <x:v>Pending source matching</x:v>
      </x:c>
      <x:c r="M431" s="30" t="str">
        <x:v>None</x:v>
      </x:c>
      <x:c r="N431" s="47" t="str">
        <x:v>Dec2025.xlsx</x:v>
      </x:c>
    </x:row>
    <x:row r="432">
      <x:c r="A432" s="46" t="n">
        <x:v>45999</x:v>
      </x:c>
      <x:c r="B432" s="30" t="str">
        <x:v>Dec-25</x:v>
      </x:c>
      <x:c r="C432" s="30" t="str">
        <x:v>Debit</x:v>
      </x:c>
      <x:c r="D432" s="19" t="str">
        <x:v>CHQ PAID-CTS S4-MUMB-SOHAM ENTREPRISES</x:v>
      </x:c>
      <x:c r="E432" s="30" t="str">
        <x:v>0000000000000855</x:v>
      </x:c>
      <x:c r="F432" s="30" t="str">
        <x:v>09/12/25</x:v>
      </x:c>
      <x:c r="G432" s="42" t="n">
        <x:v>10000</x:v>
      </x:c>
      <x:c r="H432" s="42"/>
      <x:c r="I432" s="42" t="n">
        <x:v>482106.28</x:v>
      </x:c>
      <x:c r="J432" s="30" t="str">
        <x:v>Possible vendor / operating payment</x:v>
      </x:c>
      <x:c r="K432" s="30" t="str">
        <x:v>Operating</x:v>
      </x:c>
      <x:c r="L432" s="22" t="str">
        <x:v>Pending source matching</x:v>
      </x:c>
      <x:c r="M432" s="30" t="str">
        <x:v>None</x:v>
      </x:c>
      <x:c r="N432" s="47" t="str">
        <x:v>Dec2025.xlsx</x:v>
      </x:c>
    </x:row>
    <x:row r="433">
      <x:c r="A433" s="46" t="n">
        <x:v>46001</x:v>
      </x:c>
      <x:c r="B433" s="30" t="str">
        <x:v>Dec-25</x:v>
      </x:c>
      <x:c r="C433" s="30" t="str">
        <x:v>Credit</x:v>
      </x:c>
      <x:c r="D433" s="19" t="str">
        <x:v>NEFT CR-ICIC0SF0002-VIVISH TECHNOLOGIES PRIVATE LIMITED-MONTVERTBIARRITZCOOPHOUSINGSOCIETYLTD-IN42534559939518</x:v>
      </x:c>
      <x:c r="E433" s="30" t="str">
        <x:v>IN42534559939518</x:v>
      </x:c>
      <x:c r="F433" s="30" t="str">
        <x:v>11/12/25</x:v>
      </x:c>
      <x:c r="G433" s="42"/>
      <x:c r="H433" s="42" t="n">
        <x:v>30690</x:v>
      </x:c>
      <x:c r="I433" s="42" t="n">
        <x:v>512796.28</x:v>
      </x:c>
      <x:c r="J433" s="30" t="str">
        <x:v>Possible collection</x:v>
      </x:c>
      <x:c r="K433" s="30" t="str">
        <x:v>Operating</x:v>
      </x:c>
      <x:c r="L433" s="22" t="str">
        <x:v>Pending source matching</x:v>
      </x:c>
      <x:c r="M433" s="30" t="str">
        <x:v>None</x:v>
      </x:c>
      <x:c r="N433" s="47" t="str">
        <x:v>Dec2025.xlsx</x:v>
      </x:c>
    </x:row>
    <x:row r="434">
      <x:c r="A434" s="46" t="n">
        <x:v>46002</x:v>
      </x:c>
      <x:c r="B434" s="30" t="str">
        <x:v>Dec-25</x:v>
      </x:c>
      <x:c r="C434" s="30" t="str">
        <x:v>Debit</x:v>
      </x:c>
      <x:c r="D434" s="19" t="str">
        <x:v>FONI BARDHAN - CHQ PAID - PASHAN - PUN</x:v>
      </x:c>
      <x:c r="E434" s="30" t="str">
        <x:v>0000000000000854</x:v>
      </x:c>
      <x:c r="F434" s="30" t="str">
        <x:v>12/12/25</x:v>
      </x:c>
      <x:c r="G434" s="42" t="n">
        <x:v>4500</x:v>
      </x:c>
      <x:c r="H434" s="42"/>
      <x:c r="I434" s="42" t="n">
        <x:v>508296.28</x:v>
      </x:c>
      <x:c r="J434" s="30" t="str">
        <x:v>Possible vendor / operating payment</x:v>
      </x:c>
      <x:c r="K434" s="30" t="str">
        <x:v>Operating</x:v>
      </x:c>
      <x:c r="L434" s="22" t="str">
        <x:v>Pending source matching</x:v>
      </x:c>
      <x:c r="M434" s="30" t="str">
        <x:v>None</x:v>
      </x:c>
      <x:c r="N434" s="47" t="str">
        <x:v>Dec2025.xlsx</x:v>
      </x:c>
    </x:row>
    <x:row r="435">
      <x:c r="A435" s="46" t="n">
        <x:v>46002</x:v>
      </x:c>
      <x:c r="B435" s="30" t="str">
        <x:v>Dec-25</x:v>
      </x:c>
      <x:c r="C435" s="30" t="str">
        <x:v>Debit</x:v>
      </x:c>
      <x:c r="D435" s="19" t="str">
        <x:v>SELF - CHQ PAID - PASHAN - PUN</x:v>
      </x:c>
      <x:c r="E435" s="30" t="str">
        <x:v>0000000000000863</x:v>
      </x:c>
      <x:c r="F435" s="30" t="str">
        <x:v>12/12/25</x:v>
      </x:c>
      <x:c r="G435" s="42" t="n">
        <x:v>1980</x:v>
      </x:c>
      <x:c r="H435" s="42"/>
      <x:c r="I435" s="42" t="n">
        <x:v>506316.28</x:v>
      </x:c>
      <x:c r="J435" s="30" t="str">
        <x:v>Possible vendor / operating payment</x:v>
      </x:c>
      <x:c r="K435" s="30" t="str">
        <x:v>Operating</x:v>
      </x:c>
      <x:c r="L435" s="22" t="str">
        <x:v>Pending source matching</x:v>
      </x:c>
      <x:c r="M435" s="30" t="str">
        <x:v>None</x:v>
      </x:c>
      <x:c r="N435" s="47" t="str">
        <x:v>Dec2025.xlsx</x:v>
      </x:c>
    </x:row>
    <x:row r="436">
      <x:c r="A436" s="46" t="n">
        <x:v>46003</x:v>
      </x:c>
      <x:c r="B436" s="30" t="str">
        <x:v>Dec-25</x:v>
      </x:c>
      <x:c r="C436" s="30" t="str">
        <x:v>Credit</x:v>
      </x:c>
      <x:c r="D436" s="19" t="str">
        <x:v>UPI SETTLEMENT -DKB258- 13/12/25</x:v>
      </x:c>
      <x:c r="E436" s="30" t="str">
        <x:v>000000000000000</x:v>
      </x:c>
      <x:c r="F436" s="30" t="str">
        <x:v>13/12/25</x:v>
      </x:c>
      <x:c r="G436" s="42"/>
      <x:c r="H436" s="42" t="n">
        <x:v>8000</x:v>
      </x:c>
      <x:c r="I436" s="42" t="n">
        <x:v>514316.28</x:v>
      </x:c>
      <x:c r="J436" s="30" t="str">
        <x:v>Possible collection</x:v>
      </x:c>
      <x:c r="K436" s="30" t="str">
        <x:v>Operating</x:v>
      </x:c>
      <x:c r="L436" s="22" t="str">
        <x:v>Pending source matching</x:v>
      </x:c>
      <x:c r="M436" s="30" t="str">
        <x:v>None</x:v>
      </x:c>
      <x:c r="N436" s="47" t="str">
        <x:v>Dec2025.xlsx</x:v>
      </x:c>
    </x:row>
    <x:row r="437">
      <x:c r="A437" s="46" t="n">
        <x:v>46005</x:v>
      </x:c>
      <x:c r="B437" s="30" t="str">
        <x:v>Dec-25</x:v>
      </x:c>
      <x:c r="C437" s="30" t="str">
        <x:v>Debit</x:v>
      </x:c>
      <x:c r="D437" s="19" t="str">
        <x:v>CHQ PAID-CTS S5-MUMB-KSHTIJA ARUN KUTAL</x:v>
      </x:c>
      <x:c r="E437" s="30" t="str">
        <x:v>0000000000000851</x:v>
      </x:c>
      <x:c r="F437" s="30" t="str">
        <x:v>15/12/25</x:v>
      </x:c>
      <x:c r="G437" s="42" t="n">
        <x:v>24000</x:v>
      </x:c>
      <x:c r="H437" s="42"/>
      <x:c r="I437" s="42" t="n">
        <x:v>490316.28</x:v>
      </x:c>
      <x:c r="J437" s="30" t="str">
        <x:v>Possible vendor / operating payment</x:v>
      </x:c>
      <x:c r="K437" s="30" t="str">
        <x:v>Operating</x:v>
      </x:c>
      <x:c r="L437" s="22" t="str">
        <x:v>Pending source matching</x:v>
      </x:c>
      <x:c r="M437" s="30" t="str">
        <x:v>None</x:v>
      </x:c>
      <x:c r="N437" s="47" t="str">
        <x:v>Dec2025.xlsx</x:v>
      </x:c>
    </x:row>
    <x:row r="438">
      <x:c r="A438" s="46" t="n">
        <x:v>46006</x:v>
      </x:c>
      <x:c r="B438" s="30" t="str">
        <x:v>Dec-25</x:v>
      </x:c>
      <x:c r="C438" s="30" t="str">
        <x:v>Debit</x:v>
      </x:c>
      <x:c r="D438" s="19" t="str">
        <x:v>9107279022529/SBIEPYHIGHTENSIONHTP</x:v>
      </x:c>
      <x:c r="E438" s="30" t="str">
        <x:v>0002535017659166</x:v>
      </x:c>
      <x:c r="F438" s="30" t="str">
        <x:v>16/12/25</x:v>
      </x:c>
      <x:c r="G438" s="42" t="n">
        <x:v>12570</x:v>
      </x:c>
      <x:c r="H438" s="42"/>
      <x:c r="I438" s="42" t="n">
        <x:v>477746.28</x:v>
      </x:c>
      <x:c r="J438" s="30" t="str">
        <x:v>Possible vendor / operating payment</x:v>
      </x:c>
      <x:c r="K438" s="30" t="str">
        <x:v>Operating</x:v>
      </x:c>
      <x:c r="L438" s="22" t="str">
        <x:v>Pending source matching</x:v>
      </x:c>
      <x:c r="M438" s="30" t="str">
        <x:v>None</x:v>
      </x:c>
      <x:c r="N438" s="47" t="str">
        <x:v>Dec2025.xlsx</x:v>
      </x:c>
    </x:row>
    <x:row r="439">
      <x:c r="A439" s="46" t="n">
        <x:v>46006</x:v>
      </x:c>
      <x:c r="B439" s="30" t="str">
        <x:v>Dec-25</x:v>
      </x:c>
      <x:c r="C439" s="30" t="str">
        <x:v>Debit</x:v>
      </x:c>
      <x:c r="D439" s="19" t="str">
        <x:v>2507527267829/SBIEPYHIGHTENSIONHTP</x:v>
      </x:c>
      <x:c r="E439" s="30" t="str">
        <x:v>0002535017674595</x:v>
      </x:c>
      <x:c r="F439" s="30" t="str">
        <x:v>16/12/25</x:v>
      </x:c>
      <x:c r="G439" s="42" t="n">
        <x:v>3700</x:v>
      </x:c>
      <x:c r="H439" s="42"/>
      <x:c r="I439" s="42" t="n">
        <x:v>474046.28</x:v>
      </x:c>
      <x:c r="J439" s="30" t="str">
        <x:v>Possible vendor / operating payment</x:v>
      </x:c>
      <x:c r="K439" s="30" t="str">
        <x:v>Operating</x:v>
      </x:c>
      <x:c r="L439" s="22" t="str">
        <x:v>Pending source matching</x:v>
      </x:c>
      <x:c r="M439" s="30" t="str">
        <x:v>None</x:v>
      </x:c>
      <x:c r="N439" s="47" t="str">
        <x:v>Dec2025.xlsx</x:v>
      </x:c>
    </x:row>
    <x:row r="440">
      <x:c r="A440" s="46" t="n">
        <x:v>46006</x:v>
      </x:c>
      <x:c r="B440" s="30" t="str">
        <x:v>Dec-25</x:v>
      </x:c>
      <x:c r="C440" s="30" t="str">
        <x:v>Debit</x:v>
      </x:c>
      <x:c r="D440" s="19" t="str">
        <x:v>4421107212733/SBIEPYHIGHTENSIONHTP</x:v>
      </x:c>
      <x:c r="E440" s="30" t="str">
        <x:v>0002535017674696</x:v>
      </x:c>
      <x:c r="F440" s="30" t="str">
        <x:v>16/12/25</x:v>
      </x:c>
      <x:c r="G440" s="42" t="n">
        <x:v>5290</x:v>
      </x:c>
      <x:c r="H440" s="42"/>
      <x:c r="I440" s="42" t="n">
        <x:v>468756.28</x:v>
      </x:c>
      <x:c r="J440" s="30" t="str">
        <x:v>Possible vendor / operating payment</x:v>
      </x:c>
      <x:c r="K440" s="30" t="str">
        <x:v>Operating</x:v>
      </x:c>
      <x:c r="L440" s="22" t="str">
        <x:v>Pending source matching</x:v>
      </x:c>
      <x:c r="M440" s="30" t="str">
        <x:v>None</x:v>
      </x:c>
      <x:c r="N440" s="47" t="str">
        <x:v>Dec2025.xlsx</x:v>
      </x:c>
    </x:row>
    <x:row r="441">
      <x:c r="A441" s="46" t="n">
        <x:v>46006</x:v>
      </x:c>
      <x:c r="B441" s="30" t="str">
        <x:v>Dec-25</x:v>
      </x:c>
      <x:c r="C441" s="30" t="str">
        <x:v>Debit</x:v>
      </x:c>
      <x:c r="D441" s="19" t="str">
        <x:v>3264770801333/SBIEPYHIGHTENSIONHTP</x:v>
      </x:c>
      <x:c r="E441" s="30" t="str">
        <x:v>0002535017674794</x:v>
      </x:c>
      <x:c r="F441" s="30" t="str">
        <x:v>16/12/25</x:v>
      </x:c>
      <x:c r="G441" s="42" t="n">
        <x:v>43110</x:v>
      </x:c>
      <x:c r="H441" s="42"/>
      <x:c r="I441" s="42" t="n">
        <x:v>425646.28</x:v>
      </x:c>
      <x:c r="J441" s="30" t="str">
        <x:v>Possible vendor / operating payment</x:v>
      </x:c>
      <x:c r="K441" s="30" t="str">
        <x:v>Operating</x:v>
      </x:c>
      <x:c r="L441" s="22" t="str">
        <x:v>Pending source matching</x:v>
      </x:c>
      <x:c r="M441" s="30" t="str">
        <x:v>None</x:v>
      </x:c>
      <x:c r="N441" s="47" t="str">
        <x:v>Dec2025.xlsx</x:v>
      </x:c>
    </x:row>
    <x:row r="442">
      <x:c r="A442" s="46" t="n">
        <x:v>46006</x:v>
      </x:c>
      <x:c r="B442" s="30" t="str">
        <x:v>Dec-25</x:v>
      </x:c>
      <x:c r="C442" s="30" t="str">
        <x:v>Debit</x:v>
      </x:c>
      <x:c r="D442" s="19" t="str">
        <x:v>3215792460933/SBIEPYHIGHTENSIONHTP</x:v>
      </x:c>
      <x:c r="E442" s="30" t="str">
        <x:v>0002535017659682</x:v>
      </x:c>
      <x:c r="F442" s="30" t="str">
        <x:v>16/12/25</x:v>
      </x:c>
      <x:c r="G442" s="42" t="n">
        <x:v>4000</x:v>
      </x:c>
      <x:c r="H442" s="42"/>
      <x:c r="I442" s="42" t="n">
        <x:v>421646.28</x:v>
      </x:c>
      <x:c r="J442" s="30" t="str">
        <x:v>Possible vendor / operating payment</x:v>
      </x:c>
      <x:c r="K442" s="30" t="str">
        <x:v>Operating</x:v>
      </x:c>
      <x:c r="L442" s="22" t="str">
        <x:v>Pending source matching</x:v>
      </x:c>
      <x:c r="M442" s="30" t="str">
        <x:v>None</x:v>
      </x:c>
      <x:c r="N442" s="47" t="str">
        <x:v>Dec2025.xlsx</x:v>
      </x:c>
    </x:row>
    <x:row r="443">
      <x:c r="A443" s="46" t="n">
        <x:v>46006</x:v>
      </x:c>
      <x:c r="B443" s="30" t="str">
        <x:v>Dec-25</x:v>
      </x:c>
      <x:c r="C443" s="30" t="str">
        <x:v>Debit</x:v>
      </x:c>
      <x:c r="D443" s="19" t="str">
        <x:v>3214784003346/SBIEPYHIGHTENSIONHTP</x:v>
      </x:c>
      <x:c r="E443" s="30" t="str">
        <x:v>0002535017659808</x:v>
      </x:c>
      <x:c r="F443" s="30" t="str">
        <x:v>16/12/25</x:v>
      </x:c>
      <x:c r="G443" s="42" t="n">
        <x:v>4200</x:v>
      </x:c>
      <x:c r="H443" s="42"/>
      <x:c r="I443" s="42" t="n">
        <x:v>417446.28</x:v>
      </x:c>
      <x:c r="J443" s="30" t="str">
        <x:v>Possible vendor / operating payment</x:v>
      </x:c>
      <x:c r="K443" s="30" t="str">
        <x:v>Operating</x:v>
      </x:c>
      <x:c r="L443" s="22" t="str">
        <x:v>Pending source matching</x:v>
      </x:c>
      <x:c r="M443" s="30" t="str">
        <x:v>None</x:v>
      </x:c>
      <x:c r="N443" s="47" t="str">
        <x:v>Dec2025.xlsx</x:v>
      </x:c>
    </x:row>
    <x:row r="444">
      <x:c r="A444" s="46" t="n">
        <x:v>46006</x:v>
      </x:c>
      <x:c r="B444" s="30" t="str">
        <x:v>Dec-25</x:v>
      </x:c>
      <x:c r="C444" s="30" t="str">
        <x:v>Debit</x:v>
      </x:c>
      <x:c r="D444" s="19" t="str">
        <x:v>7619077147846/SBIEPYHIGHTENSIONHTP</x:v>
      </x:c>
      <x:c r="E444" s="30" t="str">
        <x:v>0002535017684165</x:v>
      </x:c>
      <x:c r="F444" s="30" t="str">
        <x:v>16/12/25</x:v>
      </x:c>
      <x:c r="G444" s="42" t="n">
        <x:v>4860</x:v>
      </x:c>
      <x:c r="H444" s="42"/>
      <x:c r="I444" s="42" t="n">
        <x:v>412586.28</x:v>
      </x:c>
      <x:c r="J444" s="30" t="str">
        <x:v>Possible vendor / operating payment</x:v>
      </x:c>
      <x:c r="K444" s="30" t="str">
        <x:v>Operating</x:v>
      </x:c>
      <x:c r="L444" s="22" t="str">
        <x:v>Pending source matching</x:v>
      </x:c>
      <x:c r="M444" s="30" t="str">
        <x:v>None</x:v>
      </x:c>
      <x:c r="N444" s="47" t="str">
        <x:v>Dec2025.xlsx</x:v>
      </x:c>
    </x:row>
    <x:row r="445">
      <x:c r="A445" s="46" t="n">
        <x:v>46006</x:v>
      </x:c>
      <x:c r="B445" s="30" t="str">
        <x:v>Dec-25</x:v>
      </x:c>
      <x:c r="C445" s="30" t="str">
        <x:v>Debit</x:v>
      </x:c>
      <x:c r="D445" s="19" t="str">
        <x:v>7398739076927/SBIEPYHIGHTENSIONHTP</x:v>
      </x:c>
      <x:c r="E445" s="30" t="str">
        <x:v>0002535017684306</x:v>
      </x:c>
      <x:c r="F445" s="30" t="str">
        <x:v>16/12/25</x:v>
      </x:c>
      <x:c r="G445" s="42" t="n">
        <x:v>38210</x:v>
      </x:c>
      <x:c r="H445" s="42"/>
      <x:c r="I445" s="42" t="n">
        <x:v>374376.28</x:v>
      </x:c>
      <x:c r="J445" s="30" t="str">
        <x:v>Possible vendor / operating payment</x:v>
      </x:c>
      <x:c r="K445" s="30" t="str">
        <x:v>Operating</x:v>
      </x:c>
      <x:c r="L445" s="22" t="str">
        <x:v>Pending source matching</x:v>
      </x:c>
      <x:c r="M445" s="30" t="str">
        <x:v>None</x:v>
      </x:c>
      <x:c r="N445" s="47" t="str">
        <x:v>Dec2025.xlsx</x:v>
      </x:c>
    </x:row>
    <x:row r="446">
      <x:c r="A446" s="46" t="n">
        <x:v>46006</x:v>
      </x:c>
      <x:c r="B446" s="30" t="str">
        <x:v>Dec-25</x:v>
      </x:c>
      <x:c r="C446" s="30" t="str">
        <x:v>Debit</x:v>
      </x:c>
      <x:c r="D446" s="19" t="str">
        <x:v>1342378784527/SBIEPYHIGHTENSIONHTP</x:v>
      </x:c>
      <x:c r="E446" s="30" t="str">
        <x:v>0002535017700213</x:v>
      </x:c>
      <x:c r="F446" s="30" t="str">
        <x:v>16/12/25</x:v>
      </x:c>
      <x:c r="G446" s="42" t="n">
        <x:v>1690</x:v>
      </x:c>
      <x:c r="H446" s="42"/>
      <x:c r="I446" s="42" t="n">
        <x:v>372686.28</x:v>
      </x:c>
      <x:c r="J446" s="30" t="str">
        <x:v>Possible vendor / operating payment</x:v>
      </x:c>
      <x:c r="K446" s="30" t="str">
        <x:v>Operating</x:v>
      </x:c>
      <x:c r="L446" s="22" t="str">
        <x:v>Pending source matching</x:v>
      </x:c>
      <x:c r="M446" s="30" t="str">
        <x:v>None</x:v>
      </x:c>
      <x:c r="N446" s="47" t="str">
        <x:v>Dec2025.xlsx</x:v>
      </x:c>
    </x:row>
    <x:row r="447">
      <x:c r="A447" s="46" t="n">
        <x:v>46008</x:v>
      </x:c>
      <x:c r="B447" s="30" t="str">
        <x:v>Dec-25</x:v>
      </x:c>
      <x:c r="C447" s="30" t="str">
        <x:v>Credit</x:v>
      </x:c>
      <x:c r="D447" s="19" t="str">
        <x:v>NEFT CR-ICIC0SF0002-VIVISH TECHNOLOGIES PRIVATE LIMITED-MONTVERTBIARRITZCOOPHOUSINGSOCIETYLTD-IN42535254394144</x:v>
      </x:c>
      <x:c r="E447" s="30" t="str">
        <x:v>IN42535254394144</x:v>
      </x:c>
      <x:c r="F447" s="30" t="str">
        <x:v>18/12/25</x:v>
      </x:c>
      <x:c r="G447" s="42"/>
      <x:c r="H447" s="42" t="n">
        <x:v>38143.23</x:v>
      </x:c>
      <x:c r="I447" s="42" t="n">
        <x:v>410829.51</x:v>
      </x:c>
      <x:c r="J447" s="30" t="str">
        <x:v>Possible collection</x:v>
      </x:c>
      <x:c r="K447" s="30" t="str">
        <x:v>Operating</x:v>
      </x:c>
      <x:c r="L447" s="22" t="str">
        <x:v>Pending source matching</x:v>
      </x:c>
      <x:c r="M447" s="30" t="str">
        <x:v>None</x:v>
      </x:c>
      <x:c r="N447" s="47" t="str">
        <x:v>Dec2025.xlsx</x:v>
      </x:c>
    </x:row>
    <x:row r="448">
      <x:c r="A448" s="46" t="n">
        <x:v>46009</x:v>
      </x:c>
      <x:c r="B448" s="30" t="str">
        <x:v>Dec-25</x:v>
      </x:c>
      <x:c r="C448" s="30" t="str">
        <x:v>Credit</x:v>
      </x:c>
      <x:c r="D448" s="19" t="str">
        <x:v>IMPS-535314197527-SAICON CONSTRUCTIONS AND INFRA LLP-HDFC-XXXXXXXXXX5780-B701/702 YOGIRAJ SHINDE SIR</x:v>
      </x:c>
      <x:c r="E448" s="30" t="str">
        <x:v>0000535314197527</x:v>
      </x:c>
      <x:c r="F448" s="30" t="str">
        <x:v>19/12/25</x:v>
      </x:c>
      <x:c r="G448" s="42"/>
      <x:c r="H448" s="42" t="n">
        <x:v>63219</x:v>
      </x:c>
      <x:c r="I448" s="42" t="n">
        <x:v>474048.51</x:v>
      </x:c>
      <x:c r="J448" s="30" t="str">
        <x:v>Possible collection</x:v>
      </x:c>
      <x:c r="K448" s="30" t="str">
        <x:v>Operating</x:v>
      </x:c>
      <x:c r="L448" s="22" t="str">
        <x:v>Pending source matching</x:v>
      </x:c>
      <x:c r="M448" s="30" t="str">
        <x:v>None</x:v>
      </x:c>
      <x:c r="N448" s="47" t="str">
        <x:v>Dec2025.xlsx</x:v>
      </x:c>
    </x:row>
    <x:row r="449">
      <x:c r="A449" s="46" t="n">
        <x:v>46010</x:v>
      </x:c>
      <x:c r="B449" s="30" t="str">
        <x:v>Dec-25</x:v>
      </x:c>
      <x:c r="C449" s="30" t="str">
        <x:v>Credit</x:v>
      </x:c>
      <x:c r="D449" s="19" t="str">
        <x:v>NEFT CR-ICIC0SF0002-VIVISH TECHNOLOGIES PRIVATE LIMITED-MONTVERTBIARRITZCOOPHOUSINGSOCIETYLTD-IN42535455565233</x:v>
      </x:c>
      <x:c r="E449" s="30" t="str">
        <x:v>IN42535455565233</x:v>
      </x:c>
      <x:c r="F449" s="30" t="str">
        <x:v>20/12/25</x:v>
      </x:c>
      <x:c r="G449" s="42"/>
      <x:c r="H449" s="42" t="n">
        <x:v>29.12</x:v>
      </x:c>
      <x:c r="I449" s="42" t="n">
        <x:v>474077.63</x:v>
      </x:c>
      <x:c r="J449" s="30" t="str">
        <x:v>Possible collection</x:v>
      </x:c>
      <x:c r="K449" s="30" t="str">
        <x:v>Operating</x:v>
      </x:c>
      <x:c r="L449" s="22" t="str">
        <x:v>Pending source matching</x:v>
      </x:c>
      <x:c r="M449" s="30" t="str">
        <x:v>None</x:v>
      </x:c>
      <x:c r="N449" s="47" t="str">
        <x:v>Dec2025.xlsx</x:v>
      </x:c>
    </x:row>
    <x:row r="450">
      <x:c r="A450" s="46" t="n">
        <x:v>46010</x:v>
      </x:c>
      <x:c r="B450" s="30" t="str">
        <x:v>Dec-25</x:v>
      </x:c>
      <x:c r="C450" s="30" t="str">
        <x:v>Credit</x:v>
      </x:c>
      <x:c r="D450" s="19" t="str">
        <x:v>NEFT CR-ICIC0SF0002-VIVISH TECHNOLOGIES PRIVATE LIMITED-MONTVERTBIARRITZCOOPHOUSINGSOCIETYLTD-IN42535455576232</x:v>
      </x:c>
      <x:c r="E450" s="30" t="str">
        <x:v>IN42535455576232</x:v>
      </x:c>
      <x:c r="F450" s="30" t="str">
        <x:v>20/12/25</x:v>
      </x:c>
      <x:c r="G450" s="42"/>
      <x:c r="H450" s="42" t="n">
        <x:v>63363.79</x:v>
      </x:c>
      <x:c r="I450" s="42" t="n">
        <x:v>537441.42</x:v>
      </x:c>
      <x:c r="J450" s="30" t="str">
        <x:v>Possible collection</x:v>
      </x:c>
      <x:c r="K450" s="30" t="str">
        <x:v>Operating</x:v>
      </x:c>
      <x:c r="L450" s="22" t="str">
        <x:v>Pending source matching</x:v>
      </x:c>
      <x:c r="M450" s="30" t="str">
        <x:v>None</x:v>
      </x:c>
      <x:c r="N450" s="47" t="str">
        <x:v>Dec2025.xlsx</x:v>
      </x:c>
    </x:row>
    <x:row r="451">
      <x:c r="A451" s="46" t="n">
        <x:v>46012</x:v>
      </x:c>
      <x:c r="B451" s="30" t="str">
        <x:v>Dec-25</x:v>
      </x:c>
      <x:c r="C451" s="30" t="str">
        <x:v>Credit</x:v>
      </x:c>
      <x:c r="D451" s="19" t="str">
        <x:v>NEFT CR-ICIC0SF0002-VIVISH TECHNOLOGIES PRIVATE LIMITED-MONTVERTBIARRITZCOOPHOUSINGSOCIETYLTD-IN42535656453815</x:v>
      </x:c>
      <x:c r="E451" s="30" t="str">
        <x:v>IN42535656453815</x:v>
      </x:c>
      <x:c r="F451" s="30" t="str">
        <x:v>22/12/25</x:v>
      </x:c>
      <x:c r="G451" s="42"/>
      <x:c r="H451" s="42" t="n">
        <x:v>25600</x:v>
      </x:c>
      <x:c r="I451" s="42" t="n">
        <x:v>563041.42</x:v>
      </x:c>
      <x:c r="J451" s="30" t="str">
        <x:v>Possible collection</x:v>
      </x:c>
      <x:c r="K451" s="30" t="str">
        <x:v>Operating</x:v>
      </x:c>
      <x:c r="L451" s="22" t="str">
        <x:v>Pending source matching</x:v>
      </x:c>
      <x:c r="M451" s="30" t="str">
        <x:v>None</x:v>
      </x:c>
      <x:c r="N451" s="47" t="str">
        <x:v>Dec2025.xlsx</x:v>
      </x:c>
    </x:row>
    <x:row r="452">
      <x:c r="A452" s="46" t="n">
        <x:v>46012</x:v>
      </x:c>
      <x:c r="B452" s="30" t="str">
        <x:v>Dec-25</x:v>
      </x:c>
      <x:c r="C452" s="30" t="str">
        <x:v>Credit</x:v>
      </x:c>
      <x:c r="D452" s="19" t="str">
        <x:v>NEFT CR-ICIC0SF0002-VIVISH TECHNOLOGIES PRIVATE LIMITED-MONTVERTBIARRITZCOOPHOUSINGSOCIETYLTD-IN42535656504010</x:v>
      </x:c>
      <x:c r="E452" s="30" t="str">
        <x:v>IN42535656504010</x:v>
      </x:c>
      <x:c r="F452" s="30" t="str">
        <x:v>22/12/25</x:v>
      </x:c>
      <x:c r="G452" s="42"/>
      <x:c r="H452" s="42" t="n">
        <x:v>34831.5</x:v>
      </x:c>
      <x:c r="I452" s="42" t="n">
        <x:v>597872.92</x:v>
      </x:c>
      <x:c r="J452" s="30" t="str">
        <x:v>Possible collection</x:v>
      </x:c>
      <x:c r="K452" s="30" t="str">
        <x:v>Operating</x:v>
      </x:c>
      <x:c r="L452" s="22" t="str">
        <x:v>Pending source matching</x:v>
      </x:c>
      <x:c r="M452" s="30" t="str">
        <x:v>None</x:v>
      </x:c>
      <x:c r="N452" s="47" t="str">
        <x:v>Dec2025.xlsx</x:v>
      </x:c>
    </x:row>
    <x:row r="453">
      <x:c r="A453" s="46" t="n">
        <x:v>46012</x:v>
      </x:c>
      <x:c r="B453" s="30" t="str">
        <x:v>Dec-25</x:v>
      </x:c>
      <x:c r="C453" s="30" t="str">
        <x:v>Credit</x:v>
      </x:c>
      <x:c r="D453" s="19" t="str">
        <x:v>NEFT CR-ICIC0SF0002-VIVISH TECHNOLOGIES PRIVATE LIMITED-MONTVERTBIARRITZCOOPHOUSINGSOCIETYLTD-IN42535656527021</x:v>
      </x:c>
      <x:c r="E453" s="30" t="str">
        <x:v>IN42535656527021</x:v>
      </x:c>
      <x:c r="F453" s="30" t="str">
        <x:v>22/12/25</x:v>
      </x:c>
      <x:c r="G453" s="42"/>
      <x:c r="H453" s="42" t="n">
        <x:v>33331.5</x:v>
      </x:c>
      <x:c r="I453" s="42" t="n">
        <x:v>631204.42</x:v>
      </x:c>
      <x:c r="J453" s="30" t="str">
        <x:v>Possible collection</x:v>
      </x:c>
      <x:c r="K453" s="30" t="str">
        <x:v>Operating</x:v>
      </x:c>
      <x:c r="L453" s="22" t="str">
        <x:v>Pending source matching</x:v>
      </x:c>
      <x:c r="M453" s="30" t="str">
        <x:v>None</x:v>
      </x:c>
      <x:c r="N453" s="47" t="str">
        <x:v>Dec2025.xlsx</x:v>
      </x:c>
    </x:row>
    <x:row r="454">
      <x:c r="A454" s="46" t="n">
        <x:v>46012</x:v>
      </x:c>
      <x:c r="B454" s="30" t="str">
        <x:v>Dec-25</x:v>
      </x:c>
      <x:c r="C454" s="30" t="str">
        <x:v>Credit</x:v>
      </x:c>
      <x:c r="D454" s="19" t="str">
        <x:v>NEFT CR-ICIC0SF0002-VIVISH TECHNOLOGIES PRIVATE LIMITED-MONTVERTBIARRITZCOOPHOUSINGSOCIETYLTD-IN42535656535696</x:v>
      </x:c>
      <x:c r="E454" s="30" t="str">
        <x:v>IN42535656535696</x:v>
      </x:c>
      <x:c r="F454" s="30" t="str">
        <x:v>22/12/25</x:v>
      </x:c>
      <x:c r="G454" s="42"/>
      <x:c r="H454" s="42" t="n">
        <x:v>30862.5</x:v>
      </x:c>
      <x:c r="I454" s="42" t="n">
        <x:v>662066.92</x:v>
      </x:c>
      <x:c r="J454" s="30" t="str">
        <x:v>Possible collection</x:v>
      </x:c>
      <x:c r="K454" s="30" t="str">
        <x:v>Operating</x:v>
      </x:c>
      <x:c r="L454" s="22" t="str">
        <x:v>Pending source matching</x:v>
      </x:c>
      <x:c r="M454" s="30" t="str">
        <x:v>None</x:v>
      </x:c>
      <x:c r="N454" s="47" t="str">
        <x:v>Dec2025.xlsx</x:v>
      </x:c>
    </x:row>
    <x:row r="455">
      <x:c r="A455" s="46" t="n">
        <x:v>46014</x:v>
      </x:c>
      <x:c r="B455" s="30" t="str">
        <x:v>Dec-25</x:v>
      </x:c>
      <x:c r="C455" s="30" t="str">
        <x:v>Debit</x:v>
      </x:c>
      <x:c r="D455" s="19" t="str">
        <x:v>MOHAMMAD REYAZ ALI - CHQ PAID - WAKDEWADI</x:v>
      </x:c>
      <x:c r="E455" s="30" t="str">
        <x:v>0000000000000864</x:v>
      </x:c>
      <x:c r="F455" s="30" t="str">
        <x:v>24/12/25</x:v>
      </x:c>
      <x:c r="G455" s="42" t="n">
        <x:v>4200</x:v>
      </x:c>
      <x:c r="H455" s="42"/>
      <x:c r="I455" s="42" t="n">
        <x:v>657866.92</x:v>
      </x:c>
      <x:c r="J455" s="30" t="str">
        <x:v>Possible vendor / operating payment</x:v>
      </x:c>
      <x:c r="K455" s="30" t="str">
        <x:v>Operating</x:v>
      </x:c>
      <x:c r="L455" s="22" t="str">
        <x:v>Pending source matching</x:v>
      </x:c>
      <x:c r="M455" s="30" t="str">
        <x:v>None</x:v>
      </x:c>
      <x:c r="N455" s="47" t="str">
        <x:v>Dec2025.xlsx</x:v>
      </x:c>
    </x:row>
    <x:row r="456">
      <x:c r="A456" s="46" t="n">
        <x:v>46021</x:v>
      </x:c>
      <x:c r="B456" s="30" t="str">
        <x:v>Dec-25</x:v>
      </x:c>
      <x:c r="C456" s="30" t="str">
        <x:v>Credit</x:v>
      </x:c>
      <x:c r="D456" s="19" t="str">
        <x:v>INTEREST CREDIT 50301237435966</x:v>
      </x:c>
      <x:c r="E456" s="30" t="str">
        <x:v>3304220251231775</x:v>
      </x:c>
      <x:c r="F456" s="30" t="str">
        <x:v>31/12/25</x:v>
      </x:c>
      <x:c r="G456" s="42"/>
      <x:c r="H456" s="42" t="n">
        <x:v>2236</x:v>
      </x:c>
      <x:c r="I456" s="42" t="n">
        <x:v>660102.92</x:v>
      </x:c>
      <x:c r="J456" s="30" t="str">
        <x:v>Interest income</x:v>
      </x:c>
      <x:c r="K456" s="30" t="str">
        <x:v>Investment</x:v>
      </x:c>
      <x:c r="L456" s="22" t="str">
        <x:v>Pending source matching</x:v>
      </x:c>
      <x:c r="M456" s="30" t="str">
        <x:v>None</x:v>
      </x:c>
      <x:c r="N456" s="47" t="str">
        <x:v>Dec2025.xlsx</x:v>
      </x:c>
    </x:row>
    <x:row r="457">
      <x:c r="A457" s="46" t="n">
        <x:v>46021</x:v>
      </x:c>
      <x:c r="B457" s="30" t="str">
        <x:v>Dec-25</x:v>
      </x:c>
      <x:c r="C457" s="30" t="str">
        <x:v>Credit</x:v>
      </x:c>
      <x:c r="D457" s="19" t="str">
        <x:v>PRIN AND INT AUTO_REDEEM 50301237435966</x:v>
      </x:c>
      <x:c r="E457" s="30" t="str">
        <x:v>3304220251231805</x:v>
      </x:c>
      <x:c r="F457" s="30" t="str">
        <x:v>31/12/25</x:v>
      </x:c>
      <x:c r="G457" s="42"/>
      <x:c r="H457" s="42" t="n">
        <x:v>300000</x:v>
      </x:c>
      <x:c r="I457" s="42" t="n">
        <x:v>960102.92</x:v>
      </x:c>
      <x:c r="J457" s="30" t="str">
        <x:v>FD maturity / redemption</x:v>
      </x:c>
      <x:c r="K457" s="30" t="str">
        <x:v>Investment</x:v>
      </x:c>
      <x:c r="L457" s="22" t="str">
        <x:v>Pending source matching</x:v>
      </x:c>
      <x:c r="M457" s="30" t="str">
        <x:v>None</x:v>
      </x:c>
      <x:c r="N457" s="47" t="str">
        <x:v>Dec2025.xlsx</x:v>
      </x:c>
    </x:row>
    <x:row r="458">
      <x:c r="A458" s="46" t="n">
        <x:v>46055</x:v>
      </x:c>
      <x:c r="B458" s="30" t="str">
        <x:v>Feb-26</x:v>
      </x:c>
      <x:c r="C458" s="30" t="str">
        <x:v>Debit</x:v>
      </x:c>
      <x:c r="D458" s="19" t="str">
        <x:v>BHAGWAT G FASAGE - CHQ PAID - PASHAN - PUN</x:v>
      </x:c>
      <x:c r="E458" s="30" t="str">
        <x:v>0000000000000882</x:v>
      </x:c>
      <x:c r="F458" s="30" t="str">
        <x:v>03/02/26</x:v>
      </x:c>
      <x:c r="G458" s="42" t="n">
        <x:v>4500</x:v>
      </x:c>
      <x:c r="H458" s="42"/>
      <x:c r="I458" s="42" t="n">
        <x:v>577977.62</x:v>
      </x:c>
      <x:c r="J458" s="30" t="str">
        <x:v>Possible vendor / operating payment</x:v>
      </x:c>
      <x:c r="K458" s="30" t="str">
        <x:v>Operating</x:v>
      </x:c>
      <x:c r="L458" s="22" t="str">
        <x:v>Pending source matching</x:v>
      </x:c>
      <x:c r="M458" s="30" t="str">
        <x:v>None</x:v>
      </x:c>
      <x:c r="N458" s="47" t="str">
        <x:v>Feb2026.xlsx</x:v>
      </x:c>
    </x:row>
    <x:row r="459">
      <x:c r="A459" s="46" t="n">
        <x:v>46055</x:v>
      </x:c>
      <x:c r="B459" s="30" t="str">
        <x:v>Feb-26</x:v>
      </x:c>
      <x:c r="C459" s="30" t="str">
        <x:v>Debit</x:v>
      </x:c>
      <x:c r="D459" s="19" t="str">
        <x:v>CHQ PAID-CTS S3-MUMB-DEENAN B JERICWAL</x:v>
      </x:c>
      <x:c r="E459" s="30" t="str">
        <x:v>0000000000000878</x:v>
      </x:c>
      <x:c r="F459" s="30" t="str">
        <x:v>03/02/26</x:v>
      </x:c>
      <x:c r="G459" s="42" t="n">
        <x:v>24500</x:v>
      </x:c>
      <x:c r="H459" s="42"/>
      <x:c r="I459" s="42" t="n">
        <x:v>553477.62</x:v>
      </x:c>
      <x:c r="J459" s="30" t="str">
        <x:v>Possible vendor / operating payment</x:v>
      </x:c>
      <x:c r="K459" s="30" t="str">
        <x:v>Operating</x:v>
      </x:c>
      <x:c r="L459" s="22" t="str">
        <x:v>Pending source matching</x:v>
      </x:c>
      <x:c r="M459" s="30" t="str">
        <x:v>None</x:v>
      </x:c>
      <x:c r="N459" s="47" t="str">
        <x:v>Feb2026.xlsx</x:v>
      </x:c>
    </x:row>
    <x:row r="460">
      <x:c r="A460" s="46" t="n">
        <x:v>46055</x:v>
      </x:c>
      <x:c r="B460" s="30" t="str">
        <x:v>Feb-26</x:v>
      </x:c>
      <x:c r="C460" s="30" t="str">
        <x:v>Debit</x:v>
      </x:c>
      <x:c r="D460" s="19" t="str">
        <x:v>CHQ PAID-CTS S3-MUMB-NETWORK SERVICES</x:v>
      </x:c>
      <x:c r="E460" s="30" t="str">
        <x:v>0000000000000883</x:v>
      </x:c>
      <x:c r="F460" s="30" t="str">
        <x:v>03/02/26</x:v>
      </x:c>
      <x:c r="G460" s="42" t="n">
        <x:v>53460</x:v>
      </x:c>
      <x:c r="H460" s="42"/>
      <x:c r="I460" s="42" t="n">
        <x:v>500017.62</x:v>
      </x:c>
      <x:c r="J460" s="30" t="str">
        <x:v>Possible vendor / operating payment</x:v>
      </x:c>
      <x:c r="K460" s="30" t="str">
        <x:v>Operating</x:v>
      </x:c>
      <x:c r="L460" s="22" t="str">
        <x:v>Pending source matching</x:v>
      </x:c>
      <x:c r="M460" s="30" t="str">
        <x:v>None</x:v>
      </x:c>
      <x:c r="N460" s="47" t="str">
        <x:v>Feb2026.xlsx</x:v>
      </x:c>
    </x:row>
    <x:row r="461">
      <x:c r="A461" s="46" t="n">
        <x:v>46056</x:v>
      </x:c>
      <x:c r="B461" s="30" t="str">
        <x:v>Feb-26</x:v>
      </x:c>
      <x:c r="C461" s="30" t="str">
        <x:v>Debit</x:v>
      </x:c>
      <x:c r="D461" s="19" t="str">
        <x:v>VENKATESH SHANKRAPPA - CHQ PAID - PASHAN - PUN</x:v>
      </x:c>
      <x:c r="E461" s="30" t="str">
        <x:v>0000000000000884</x:v>
      </x:c>
      <x:c r="F461" s="30" t="str">
        <x:v>04/02/26</x:v>
      </x:c>
      <x:c r="G461" s="42" t="n">
        <x:v>1500</x:v>
      </x:c>
      <x:c r="H461" s="42"/>
      <x:c r="I461" s="42" t="n">
        <x:v>498517.62</x:v>
      </x:c>
      <x:c r="J461" s="30" t="str">
        <x:v>Possible vendor / operating payment</x:v>
      </x:c>
      <x:c r="K461" s="30" t="str">
        <x:v>Operating</x:v>
      </x:c>
      <x:c r="L461" s="22" t="str">
        <x:v>Pending source matching</x:v>
      </x:c>
      <x:c r="M461" s="30" t="str">
        <x:v>None</x:v>
      </x:c>
      <x:c r="N461" s="47" t="str">
        <x:v>Feb2026.xlsx</x:v>
      </x:c>
    </x:row>
    <x:row r="462">
      <x:c r="A462" s="46" t="n">
        <x:v>46057</x:v>
      </x:c>
      <x:c r="B462" s="30" t="str">
        <x:v>Feb-26</x:v>
      </x:c>
      <x:c r="C462" s="30" t="str">
        <x:v>Debit</x:v>
      </x:c>
      <x:c r="D462" s="19" t="str">
        <x:v>CHQ PAID-CTS S1-MUMB-NEW BALAJI HARDWARE</x:v>
      </x:c>
      <x:c r="E462" s="30" t="str">
        <x:v>0000000000000887</x:v>
      </x:c>
      <x:c r="F462" s="30" t="str">
        <x:v>05/02/26</x:v>
      </x:c>
      <x:c r="G462" s="42" t="n">
        <x:v>5265</x:v>
      </x:c>
      <x:c r="H462" s="42"/>
      <x:c r="I462" s="42" t="n">
        <x:v>493252.62</x:v>
      </x:c>
      <x:c r="J462" s="30" t="str">
        <x:v>Possible vendor / operating payment</x:v>
      </x:c>
      <x:c r="K462" s="30" t="str">
        <x:v>Operating</x:v>
      </x:c>
      <x:c r="L462" s="22" t="str">
        <x:v>Pending source matching</x:v>
      </x:c>
      <x:c r="M462" s="30" t="str">
        <x:v>None</x:v>
      </x:c>
      <x:c r="N462" s="47" t="str">
        <x:v>Feb2026.xlsx</x:v>
      </x:c>
    </x:row>
    <x:row r="463">
      <x:c r="A463" s="46" t="n">
        <x:v>46057</x:v>
      </x:c>
      <x:c r="B463" s="30" t="str">
        <x:v>Feb-26</x:v>
      </x:c>
      <x:c r="C463" s="30" t="str">
        <x:v>Debit</x:v>
      </x:c>
      <x:c r="D463" s="19" t="str">
        <x:v>FANI BARDHAN - CHQ PAID - PASHAN - PUN</x:v>
      </x:c>
      <x:c r="E463" s="30" t="str">
        <x:v>0000000000000881</x:v>
      </x:c>
      <x:c r="F463" s="30" t="str">
        <x:v>05/02/26</x:v>
      </x:c>
      <x:c r="G463" s="42" t="n">
        <x:v>4500</x:v>
      </x:c>
      <x:c r="H463" s="42"/>
      <x:c r="I463" s="42" t="n">
        <x:v>488752.62</x:v>
      </x:c>
      <x:c r="J463" s="30" t="str">
        <x:v>Possible vendor / operating payment</x:v>
      </x:c>
      <x:c r="K463" s="30" t="str">
        <x:v>Operating</x:v>
      </x:c>
      <x:c r="L463" s="22" t="str">
        <x:v>Pending source matching</x:v>
      </x:c>
      <x:c r="M463" s="30" t="str">
        <x:v>None</x:v>
      </x:c>
      <x:c r="N463" s="47" t="str">
        <x:v>Feb2026.xlsx</x:v>
      </x:c>
    </x:row>
    <x:row r="464">
      <x:c r="A464" s="46" t="n">
        <x:v>46058</x:v>
      </x:c>
      <x:c r="B464" s="30" t="str">
        <x:v>Feb-26</x:v>
      </x:c>
      <x:c r="C464" s="30" t="str">
        <x:v>Debit</x:v>
      </x:c>
      <x:c r="D464" s="19" t="str">
        <x:v>CHQ PAID-CTS S1-MUMB-MAHENDRA D WAGHMARE</x:v>
      </x:c>
      <x:c r="E464" s="30" t="str">
        <x:v>0000000000000880</x:v>
      </x:c>
      <x:c r="F464" s="30" t="str">
        <x:v>06/02/26</x:v>
      </x:c>
      <x:c r="G464" s="42" t="n">
        <x:v>5000</x:v>
      </x:c>
      <x:c r="H464" s="42"/>
      <x:c r="I464" s="42" t="n">
        <x:v>483752.62</x:v>
      </x:c>
      <x:c r="J464" s="30" t="str">
        <x:v>Possible vendor / operating payment</x:v>
      </x:c>
      <x:c r="K464" s="30" t="str">
        <x:v>Operating</x:v>
      </x:c>
      <x:c r="L464" s="22" t="str">
        <x:v>Pending source matching</x:v>
      </x:c>
      <x:c r="M464" s="30" t="str">
        <x:v>None</x:v>
      </x:c>
      <x:c r="N464" s="47" t="str">
        <x:v>Feb2026.xlsx</x:v>
      </x:c>
    </x:row>
    <x:row r="465">
      <x:c r="A465" s="46" t="n">
        <x:v>46061</x:v>
      </x:c>
      <x:c r="B465" s="30" t="str">
        <x:v>Feb-26</x:v>
      </x:c>
      <x:c r="C465" s="30" t="str">
        <x:v>Debit</x:v>
      </x:c>
      <x:c r="D465" s="19" t="str">
        <x:v>CHQ PAID-CTS S4-MUMB-SOHAM ENTERPRISES</x:v>
      </x:c>
      <x:c r="E465" s="30" t="str">
        <x:v>0000000000000879</x:v>
      </x:c>
      <x:c r="F465" s="30" t="str">
        <x:v>09/02/26</x:v>
      </x:c>
      <x:c r="G465" s="42" t="n">
        <x:v>6000</x:v>
      </x:c>
      <x:c r="H465" s="42"/>
      <x:c r="I465" s="42" t="n">
        <x:v>477752.62</x:v>
      </x:c>
      <x:c r="J465" s="30" t="str">
        <x:v>Possible vendor / operating payment</x:v>
      </x:c>
      <x:c r="K465" s="30" t="str">
        <x:v>Operating</x:v>
      </x:c>
      <x:c r="L465" s="22" t="str">
        <x:v>Pending source matching</x:v>
      </x:c>
      <x:c r="M465" s="30" t="str">
        <x:v>None</x:v>
      </x:c>
      <x:c r="N465" s="47" t="str">
        <x:v>Feb2026.xlsx</x:v>
      </x:c>
    </x:row>
    <x:row r="466">
      <x:c r="A466" s="46" t="n">
        <x:v>46063</x:v>
      </x:c>
      <x:c r="B466" s="30" t="str">
        <x:v>Feb-26</x:v>
      </x:c>
      <x:c r="C466" s="30" t="str">
        <x:v>Credit</x:v>
      </x:c>
      <x:c r="D466" s="19" t="str">
        <x:v>UPI SETTLEMENT -DKB258- 11/02/26</x:v>
      </x:c>
      <x:c r="E466" s="30" t="str">
        <x:v>000000000000000</x:v>
      </x:c>
      <x:c r="F466" s="30" t="str">
        <x:v>11/02/26</x:v>
      </x:c>
      <x:c r="G466" s="42"/>
      <x:c r="H466" s="42" t="n">
        <x:v>8000</x:v>
      </x:c>
      <x:c r="I466" s="42" t="n">
        <x:v>485752.62</x:v>
      </x:c>
      <x:c r="J466" s="30" t="str">
        <x:v>Possible collection</x:v>
      </x:c>
      <x:c r="K466" s="30" t="str">
        <x:v>Operating</x:v>
      </x:c>
      <x:c r="L466" s="22" t="str">
        <x:v>Pending source matching</x:v>
      </x:c>
      <x:c r="M466" s="30" t="str">
        <x:v>None</x:v>
      </x:c>
      <x:c r="N466" s="47" t="str">
        <x:v>Feb2026.xlsx</x:v>
      </x:c>
    </x:row>
    <x:row r="467">
      <x:c r="A467" s="46" t="n">
        <x:v>46069</x:v>
      </x:c>
      <x:c r="B467" s="30" t="str">
        <x:v>Feb-26</x:v>
      </x:c>
      <x:c r="C467" s="30" t="str">
        <x:v>Debit</x:v>
      </x:c>
      <x:c r="D467" s="19" t="str">
        <x:v>1251889868033/SBIEPYHIGHTENSIONHTP</x:v>
      </x:c>
      <x:c r="E467" s="30" t="str">
        <x:v>0000264832267939</x:v>
      </x:c>
      <x:c r="F467" s="30" t="str">
        <x:v>17/02/26</x:v>
      </x:c>
      <x:c r="G467" s="42" t="n">
        <x:v>18580</x:v>
      </x:c>
      <x:c r="H467" s="42"/>
      <x:c r="I467" s="42" t="n">
        <x:v>467172.62</x:v>
      </x:c>
      <x:c r="J467" s="30" t="str">
        <x:v>Possible vendor / operating payment</x:v>
      </x:c>
      <x:c r="K467" s="30" t="str">
        <x:v>Operating</x:v>
      </x:c>
      <x:c r="L467" s="22" t="str">
        <x:v>Pending source matching</x:v>
      </x:c>
      <x:c r="M467" s="30" t="str">
        <x:v>None</x:v>
      </x:c>
      <x:c r="N467" s="47" t="str">
        <x:v>Feb2026.xlsx</x:v>
      </x:c>
    </x:row>
    <x:row r="468">
      <x:c r="A468" s="46" t="n">
        <x:v>46069</x:v>
      </x:c>
      <x:c r="B468" s="30" t="str">
        <x:v>Feb-26</x:v>
      </x:c>
      <x:c r="C468" s="30" t="str">
        <x:v>Debit</x:v>
      </x:c>
      <x:c r="D468" s="19" t="str">
        <x:v>1351059522935/SBIEPYHIGHTENSIONHTP</x:v>
      </x:c>
      <x:c r="E468" s="30" t="str">
        <x:v>0000264832287136</x:v>
      </x:c>
      <x:c r="F468" s="30" t="str">
        <x:v>17/02/26</x:v>
      </x:c>
      <x:c r="G468" s="42" t="n">
        <x:v>4250</x:v>
      </x:c>
      <x:c r="H468" s="42"/>
      <x:c r="I468" s="42" t="n">
        <x:v>462922.62</x:v>
      </x:c>
      <x:c r="J468" s="30" t="str">
        <x:v>Possible vendor / operating payment</x:v>
      </x:c>
      <x:c r="K468" s="30" t="str">
        <x:v>Operating</x:v>
      </x:c>
      <x:c r="L468" s="22" t="str">
        <x:v>Pending source matching</x:v>
      </x:c>
      <x:c r="M468" s="30" t="str">
        <x:v>None</x:v>
      </x:c>
      <x:c r="N468" s="47" t="str">
        <x:v>Feb2026.xlsx</x:v>
      </x:c>
    </x:row>
    <x:row r="469">
      <x:c r="A469" s="46" t="n">
        <x:v>46069</x:v>
      </x:c>
      <x:c r="B469" s="30" t="str">
        <x:v>Feb-26</x:v>
      </x:c>
      <x:c r="C469" s="30" t="str">
        <x:v>Debit</x:v>
      </x:c>
      <x:c r="D469" s="19" t="str">
        <x:v>CHQ PAID-CTS S6-MUMB-SHAVERA GROUP</x:v>
      </x:c>
      <x:c r="E469" s="30" t="str">
        <x:v>0000000000000888</x:v>
      </x:c>
      <x:c r="F469" s="30" t="str">
        <x:v>17/02/26</x:v>
      </x:c>
      <x:c r="G469" s="42" t="n">
        <x:v>38000</x:v>
      </x:c>
      <x:c r="H469" s="42"/>
      <x:c r="I469" s="42" t="n">
        <x:v>424922.62</x:v>
      </x:c>
      <x:c r="J469" s="30" t="str">
        <x:v>Possible vendor / operating payment</x:v>
      </x:c>
      <x:c r="K469" s="30" t="str">
        <x:v>Operating</x:v>
      </x:c>
      <x:c r="L469" s="22" t="str">
        <x:v>Pending source matching</x:v>
      </x:c>
      <x:c r="M469" s="30" t="str">
        <x:v>None</x:v>
      </x:c>
      <x:c r="N469" s="47" t="str">
        <x:v>Feb2026.xlsx</x:v>
      </x:c>
    </x:row>
    <x:row r="470">
      <x:c r="A470" s="46" t="n">
        <x:v>46071</x:v>
      </x:c>
      <x:c r="B470" s="30" t="str">
        <x:v>Feb-26</x:v>
      </x:c>
      <x:c r="C470" s="30" t="str">
        <x:v>Debit</x:v>
      </x:c>
      <x:c r="D470" s="19" t="str">
        <x:v>CHQ PAID-CTS S1-MUMB-NEW BALAJI HARDWARE</x:v>
      </x:c>
      <x:c r="E470" s="30" t="str">
        <x:v>0000000000000889</x:v>
      </x:c>
      <x:c r="F470" s="30" t="str">
        <x:v>19/02/26</x:v>
      </x:c>
      <x:c r="G470" s="42" t="n">
        <x:v>17662</x:v>
      </x:c>
      <x:c r="H470" s="42"/>
      <x:c r="I470" s="42" t="n">
        <x:v>407260.62</x:v>
      </x:c>
      <x:c r="J470" s="30" t="str">
        <x:v>Possible vendor / operating payment</x:v>
      </x:c>
      <x:c r="K470" s="30" t="str">
        <x:v>Operating</x:v>
      </x:c>
      <x:c r="L470" s="22" t="str">
        <x:v>Pending source matching</x:v>
      </x:c>
      <x:c r="M470" s="30" t="str">
        <x:v>None</x:v>
      </x:c>
      <x:c r="N470" s="47" t="str">
        <x:v>Feb2026.xlsx</x:v>
      </x:c>
    </x:row>
    <x:row r="471">
      <x:c r="A471" s="46" t="n">
        <x:v>46071</x:v>
      </x:c>
      <x:c r="B471" s="30" t="str">
        <x:v>Feb-26</x:v>
      </x:c>
      <x:c r="C471" s="30" t="str">
        <x:v>Debit</x:v>
      </x:c>
      <x:c r="D471" s="19" t="str">
        <x:v>CHQ PAID-CTS S3-MUMB-SOMNATH MAHANTY</x:v>
      </x:c>
      <x:c r="E471" s="30" t="str">
        <x:v>0000000000000891</x:v>
      </x:c>
      <x:c r="F471" s="30" t="str">
        <x:v>19/02/26</x:v>
      </x:c>
      <x:c r="G471" s="42" t="n">
        <x:v>12570</x:v>
      </x:c>
      <x:c r="H471" s="42"/>
      <x:c r="I471" s="42" t="n">
        <x:v>394690.62</x:v>
      </x:c>
      <x:c r="J471" s="30" t="str">
        <x:v>Possible vendor / operating payment</x:v>
      </x:c>
      <x:c r="K471" s="30" t="str">
        <x:v>Operating</x:v>
      </x:c>
      <x:c r="L471" s="22" t="str">
        <x:v>Pending source matching</x:v>
      </x:c>
      <x:c r="M471" s="30" t="str">
        <x:v>None</x:v>
      </x:c>
      <x:c r="N471" s="47" t="str">
        <x:v>Feb2026.xlsx</x:v>
      </x:c>
    </x:row>
    <x:row r="472">
      <x:c r="A472" s="46" t="n">
        <x:v>46072</x:v>
      </x:c>
      <x:c r="B472" s="30" t="str">
        <x:v>Feb-26</x:v>
      </x:c>
      <x:c r="C472" s="30" t="str">
        <x:v>Debit</x:v>
      </x:c>
      <x:c r="D472" s="19" t="str">
        <x:v>4319681152822/SBIEPYHIGHTENSIONHTP</x:v>
      </x:c>
      <x:c r="E472" s="30" t="str">
        <x:v>0000265132999506</x:v>
      </x:c>
      <x:c r="F472" s="30" t="str">
        <x:v>20/02/26</x:v>
      </x:c>
      <x:c r="G472" s="42" t="n">
        <x:v>5980</x:v>
      </x:c>
      <x:c r="H472" s="42"/>
      <x:c r="I472" s="42" t="n">
        <x:v>388710.62</x:v>
      </x:c>
      <x:c r="J472" s="30" t="str">
        <x:v>Possible vendor / operating payment</x:v>
      </x:c>
      <x:c r="K472" s="30" t="str">
        <x:v>Operating</x:v>
      </x:c>
      <x:c r="L472" s="22" t="str">
        <x:v>Pending source matching</x:v>
      </x:c>
      <x:c r="M472" s="30" t="str">
        <x:v>None</x:v>
      </x:c>
      <x:c r="N472" s="47" t="str">
        <x:v>Feb2026.xlsx</x:v>
      </x:c>
    </x:row>
    <x:row r="473">
      <x:c r="A473" s="46" t="n">
        <x:v>46072</x:v>
      </x:c>
      <x:c r="B473" s="30" t="str">
        <x:v>Feb-26</x:v>
      </x:c>
      <x:c r="C473" s="30" t="str">
        <x:v>Debit</x:v>
      </x:c>
      <x:c r="D473" s="19" t="str">
        <x:v>8789291704948/SBIEPYHIGHTENSIONHTP</x:v>
      </x:c>
      <x:c r="E473" s="30" t="str">
        <x:v>0000265133024886</x:v>
      </x:c>
      <x:c r="F473" s="30" t="str">
        <x:v>20/02/26</x:v>
      </x:c>
      <x:c r="G473" s="42" t="n">
        <x:v>42090</x:v>
      </x:c>
      <x:c r="H473" s="42"/>
      <x:c r="I473" s="42" t="n">
        <x:v>346620.62</x:v>
      </x:c>
      <x:c r="J473" s="30" t="str">
        <x:v>Possible vendor / operating payment</x:v>
      </x:c>
      <x:c r="K473" s="30" t="str">
        <x:v>Operating</x:v>
      </x:c>
      <x:c r="L473" s="22" t="str">
        <x:v>Pending source matching</x:v>
      </x:c>
      <x:c r="M473" s="30" t="str">
        <x:v>None</x:v>
      </x:c>
      <x:c r="N473" s="47" t="str">
        <x:v>Feb2026.xlsx</x:v>
      </x:c>
    </x:row>
    <x:row r="474">
      <x:c r="A474" s="46" t="n">
        <x:v>46072</x:v>
      </x:c>
      <x:c r="B474" s="30" t="str">
        <x:v>Feb-26</x:v>
      </x:c>
      <x:c r="C474" s="30" t="str">
        <x:v>Debit</x:v>
      </x:c>
      <x:c r="D474" s="19" t="str">
        <x:v>0693331710328/SBIEPYHIGHTENSIONHTP</x:v>
      </x:c>
      <x:c r="E474" s="30" t="str">
        <x:v>0000265133025446</x:v>
      </x:c>
      <x:c r="F474" s="30" t="str">
        <x:v>20/02/26</x:v>
      </x:c>
      <x:c r="G474" s="42" t="n">
        <x:v>4930</x:v>
      </x:c>
      <x:c r="H474" s="42"/>
      <x:c r="I474" s="42" t="n">
        <x:v>341690.62</x:v>
      </x:c>
      <x:c r="J474" s="30" t="str">
        <x:v>Possible vendor / operating payment</x:v>
      </x:c>
      <x:c r="K474" s="30" t="str">
        <x:v>Operating</x:v>
      </x:c>
      <x:c r="L474" s="22" t="str">
        <x:v>Pending source matching</x:v>
      </x:c>
      <x:c r="M474" s="30" t="str">
        <x:v>None</x:v>
      </x:c>
      <x:c r="N474" s="47" t="str">
        <x:v>Feb2026.xlsx</x:v>
      </x:c>
    </x:row>
    <x:row r="475">
      <x:c r="A475" s="46" t="n">
        <x:v>46072</x:v>
      </x:c>
      <x:c r="B475" s="30" t="str">
        <x:v>Feb-26</x:v>
      </x:c>
      <x:c r="C475" s="30" t="str">
        <x:v>Debit</x:v>
      </x:c>
      <x:c r="D475" s="19" t="str">
        <x:v>5860449809236/SBIEPYHIGHTENSIONHTP</x:v>
      </x:c>
      <x:c r="E475" s="30" t="str">
        <x:v>0000265133025598</x:v>
      </x:c>
      <x:c r="F475" s="30" t="str">
        <x:v>20/02/26</x:v>
      </x:c>
      <x:c r="G475" s="42" t="n">
        <x:v>6010</x:v>
      </x:c>
      <x:c r="H475" s="42"/>
      <x:c r="I475" s="42" t="n">
        <x:v>335680.62</x:v>
      </x:c>
      <x:c r="J475" s="30" t="str">
        <x:v>Possible vendor / operating payment</x:v>
      </x:c>
      <x:c r="K475" s="30" t="str">
        <x:v>Operating</x:v>
      </x:c>
      <x:c r="L475" s="22" t="str">
        <x:v>Pending source matching</x:v>
      </x:c>
      <x:c r="M475" s="30" t="str">
        <x:v>None</x:v>
      </x:c>
      <x:c r="N475" s="47" t="str">
        <x:v>Feb2026.xlsx</x:v>
      </x:c>
    </x:row>
    <x:row r="476">
      <x:c r="A476" s="46" t="n">
        <x:v>46072</x:v>
      </x:c>
      <x:c r="B476" s="30" t="str">
        <x:v>Feb-26</x:v>
      </x:c>
      <x:c r="C476" s="30" t="str">
        <x:v>Debit</x:v>
      </x:c>
      <x:c r="D476" s="19" t="str">
        <x:v>1902311642126/SBIEPYHIGHTENSIONHTP</x:v>
      </x:c>
      <x:c r="E476" s="30" t="str">
        <x:v>0000265133042359</x:v>
      </x:c>
      <x:c r="F476" s="30" t="str">
        <x:v>20/02/26</x:v>
      </x:c>
      <x:c r="G476" s="42" t="n">
        <x:v>10020</x:v>
      </x:c>
      <x:c r="H476" s="42"/>
      <x:c r="I476" s="42" t="n">
        <x:v>325660.62</x:v>
      </x:c>
      <x:c r="J476" s="30" t="str">
        <x:v>Possible vendor / operating payment</x:v>
      </x:c>
      <x:c r="K476" s="30" t="str">
        <x:v>Operating</x:v>
      </x:c>
      <x:c r="L476" s="22" t="str">
        <x:v>Pending source matching</x:v>
      </x:c>
      <x:c r="M476" s="30" t="str">
        <x:v>None</x:v>
      </x:c>
      <x:c r="N476" s="47" t="str">
        <x:v>Feb2026.xlsx</x:v>
      </x:c>
    </x:row>
    <x:row r="477">
      <x:c r="A477" s="46" t="n">
        <x:v>46072</x:v>
      </x:c>
      <x:c r="B477" s="30" t="str">
        <x:v>Feb-26</x:v>
      </x:c>
      <x:c r="C477" s="30" t="str">
        <x:v>Debit</x:v>
      </x:c>
      <x:c r="D477" s="19" t="str">
        <x:v>8133371673712/SBIEPYHIGHTENSIONHTP</x:v>
      </x:c>
      <x:c r="E477" s="30" t="str">
        <x:v>0000265133060580</x:v>
      </x:c>
      <x:c r="F477" s="30" t="str">
        <x:v>20/02/26</x:v>
      </x:c>
      <x:c r="G477" s="42" t="n">
        <x:v>39870</x:v>
      </x:c>
      <x:c r="H477" s="42"/>
      <x:c r="I477" s="42" t="n">
        <x:v>285790.62</x:v>
      </x:c>
      <x:c r="J477" s="30" t="str">
        <x:v>Possible vendor / operating payment</x:v>
      </x:c>
      <x:c r="K477" s="30" t="str">
        <x:v>Operating</x:v>
      </x:c>
      <x:c r="L477" s="22" t="str">
        <x:v>Pending source matching</x:v>
      </x:c>
      <x:c r="M477" s="30" t="str">
        <x:v>None</x:v>
      </x:c>
      <x:c r="N477" s="47" t="str">
        <x:v>Feb2026.xlsx</x:v>
      </x:c>
    </x:row>
    <x:row r="478">
      <x:c r="A478" s="46" t="n">
        <x:v>46072</x:v>
      </x:c>
      <x:c r="B478" s="30" t="str">
        <x:v>Feb-26</x:v>
      </x:c>
      <x:c r="C478" s="30" t="str">
        <x:v>Debit</x:v>
      </x:c>
      <x:c r="D478" s="19" t="str">
        <x:v>3960029739636/SBIEPYHIGHTENSIONHTP</x:v>
      </x:c>
      <x:c r="E478" s="30" t="str">
        <x:v>0000265133060677</x:v>
      </x:c>
      <x:c r="F478" s="30" t="str">
        <x:v>20/02/26</x:v>
      </x:c>
      <x:c r="G478" s="42" t="n">
        <x:v>1540</x:v>
      </x:c>
      <x:c r="H478" s="42"/>
      <x:c r="I478" s="42" t="n">
        <x:v>284250.62</x:v>
      </x:c>
      <x:c r="J478" s="30" t="str">
        <x:v>Possible vendor / operating payment</x:v>
      </x:c>
      <x:c r="K478" s="30" t="str">
        <x:v>Operating</x:v>
      </x:c>
      <x:c r="L478" s="22" t="str">
        <x:v>Pending source matching</x:v>
      </x:c>
      <x:c r="M478" s="30" t="str">
        <x:v>None</x:v>
      </x:c>
      <x:c r="N478" s="47" t="str">
        <x:v>Feb2026.xlsx</x:v>
      </x:c>
    </x:row>
    <x:row r="479">
      <x:c r="A479" s="46" t="n">
        <x:v>46076</x:v>
      </x:c>
      <x:c r="B479" s="30" t="str">
        <x:v>Feb-26</x:v>
      </x:c>
      <x:c r="C479" s="30" t="str">
        <x:v>Debit</x:v>
      </x:c>
      <x:c r="D479" s="19" t="str">
        <x:v>K4THS5EFAV62FOORCU/PAYUBAJAJGENERALINSU</x:v>
      </x:c>
      <x:c r="E479" s="30" t="str">
        <x:v>0000265533643444</x:v>
      </x:c>
      <x:c r="F479" s="30" t="str">
        <x:v>24/02/26</x:v>
      </x:c>
      <x:c r="G479" s="42" t="n">
        <x:v>140245</x:v>
      </x:c>
      <x:c r="H479" s="42"/>
      <x:c r="I479" s="42" t="n">
        <x:v>144005.62</x:v>
      </x:c>
      <x:c r="J479" s="30" t="str">
        <x:v>Unclassified bank debit</x:v>
      </x:c>
      <x:c r="K479" s="30" t="str">
        <x:v>Other</x:v>
      </x:c>
      <x:c r="L479" s="22" t="str">
        <x:v>Pending source matching</x:v>
      </x:c>
      <x:c r="M479" s="30" t="str">
        <x:v>None</x:v>
      </x:c>
      <x:c r="N479" s="47" t="str">
        <x:v>Feb2026.xlsx</x:v>
      </x:c>
    </x:row>
    <x:row r="480">
      <x:c r="A480" s="46" t="n">
        <x:v>46079</x:v>
      </x:c>
      <x:c r="B480" s="30" t="str">
        <x:v>Feb-26</x:v>
      </x:c>
      <x:c r="C480" s="30" t="str">
        <x:v>Credit</x:v>
      </x:c>
      <x:c r="D480" s="19" t="str">
        <x:v>NEFT CR-ICIC0SF0002-VIVISH TECHNOLOGIES PRIVATE LIMITED-MONTVERTBIARRITZCOOPHOUSINGSOCIETYLTD-IN42605851813638</x:v>
      </x:c>
      <x:c r="E480" s="30" t="str">
        <x:v>IN42605851813638</x:v>
      </x:c>
      <x:c r="F480" s="30" t="str">
        <x:v>27/02/26</x:v>
      </x:c>
      <x:c r="G480" s="42"/>
      <x:c r="H480" s="42" t="n">
        <x:v>32035.5</x:v>
      </x:c>
      <x:c r="I480" s="42" t="n">
        <x:v>176041.12</x:v>
      </x:c>
      <x:c r="J480" s="30" t="str">
        <x:v>Possible collection</x:v>
      </x:c>
      <x:c r="K480" s="30" t="str">
        <x:v>Operating</x:v>
      </x:c>
      <x:c r="L480" s="22" t="str">
        <x:v>Pending source matching</x:v>
      </x:c>
      <x:c r="M480" s="30" t="str">
        <x:v>None</x:v>
      </x:c>
      <x:c r="N480" s="47" t="str">
        <x:v>Feb2026.xlsx</x:v>
      </x:c>
    </x:row>
    <x:row r="481">
      <x:c r="A481" s="46" t="n">
        <x:v>46079</x:v>
      </x:c>
      <x:c r="B481" s="30" t="str">
        <x:v>Feb-26</x:v>
      </x:c>
      <x:c r="C481" s="30" t="str">
        <x:v>Debit</x:v>
      </x:c>
      <x:c r="D481" s="19" t="str">
        <x:v>CHQ PAID-CTS S6-MUMB-GANESH PUMPS AND AU</x:v>
      </x:c>
      <x:c r="E481" s="30" t="str">
        <x:v>0000000000000893</x:v>
      </x:c>
      <x:c r="F481" s="30" t="str">
        <x:v>27/02/26</x:v>
      </x:c>
      <x:c r="G481" s="42" t="n">
        <x:v>7650</x:v>
      </x:c>
      <x:c r="H481" s="42"/>
      <x:c r="I481" s="42" t="n">
        <x:v>168391.12</x:v>
      </x:c>
      <x:c r="J481" s="30" t="str">
        <x:v>Possible vendor / operating payment</x:v>
      </x:c>
      <x:c r="K481" s="30" t="str">
        <x:v>Operating</x:v>
      </x:c>
      <x:c r="L481" s="22" t="str">
        <x:v>Pending source matching</x:v>
      </x:c>
      <x:c r="M481" s="30" t="str">
        <x:v>None</x:v>
      </x:c>
      <x:c r="N481" s="47" t="str">
        <x:v>Feb2026.xlsx</x:v>
      </x:c>
    </x:row>
    <x:row r="482">
      <x:c r="A482" s="46" t="n">
        <x:v>46079</x:v>
      </x:c>
      <x:c r="B482" s="30" t="str">
        <x:v>Feb-26</x:v>
      </x:c>
      <x:c r="C482" s="30" t="str">
        <x:v>Debit</x:v>
      </x:c>
      <x:c r="D482" s="19" t="str">
        <x:v>CHQ PAID-CTS S6-MUMB-GANESH ELECTRICAL W</x:v>
      </x:c>
      <x:c r="E482" s="30" t="str">
        <x:v>0000000000000892</x:v>
      </x:c>
      <x:c r="F482" s="30" t="str">
        <x:v>27/02/26</x:v>
      </x:c>
      <x:c r="G482" s="42" t="n">
        <x:v>26545</x:v>
      </x:c>
      <x:c r="H482" s="42"/>
      <x:c r="I482" s="42" t="n">
        <x:v>141846.12</x:v>
      </x:c>
      <x:c r="J482" s="30" t="str">
        <x:v>Possible vendor / operating payment</x:v>
      </x:c>
      <x:c r="K482" s="30" t="str">
        <x:v>Operating</x:v>
      </x:c>
      <x:c r="L482" s="22" t="str">
        <x:v>Pending source matching</x:v>
      </x:c>
      <x:c r="M482" s="30" t="str">
        <x:v>None</x:v>
      </x:c>
      <x:c r="N482" s="47" t="str">
        <x:v>Feb2026.xlsx</x:v>
      </x:c>
    </x:row>
    <x:row r="483">
      <x:c r="A483" s="46" t="n">
        <x:v>46080</x:v>
      </x:c>
      <x:c r="B483" s="30" t="str">
        <x:v>Feb-26</x:v>
      </x:c>
      <x:c r="C483" s="30" t="str">
        <x:v>Credit</x:v>
      </x:c>
      <x:c r="D483" s="19" t="str">
        <x:v>INTEREST CREDIT 50301239902714</x:v>
      </x:c>
      <x:c r="E483" s="30" t="str">
        <x:v>3304220260228769</x:v>
      </x:c>
      <x:c r="F483" s="30" t="str">
        <x:v>28/02/26</x:v>
      </x:c>
      <x:c r="G483" s="42"/>
      <x:c r="H483" s="42" t="n">
        <x:v>4157</x:v>
      </x:c>
      <x:c r="I483" s="42" t="n">
        <x:v>146003.12</x:v>
      </x:c>
      <x:c r="J483" s="30" t="str">
        <x:v>Interest income</x:v>
      </x:c>
      <x:c r="K483" s="30" t="str">
        <x:v>Investment</x:v>
      </x:c>
      <x:c r="L483" s="22" t="str">
        <x:v>Pending source matching</x:v>
      </x:c>
      <x:c r="M483" s="30" t="str">
        <x:v>None</x:v>
      </x:c>
      <x:c r="N483" s="47" t="str">
        <x:v>Feb2026.xlsx</x:v>
      </x:c>
    </x:row>
    <x:row r="484">
      <x:c r="A484" s="48" t="n">
        <x:v>46080</x:v>
      </x:c>
      <x:c r="B484" s="49" t="str">
        <x:v>Feb-26</x:v>
      </x:c>
      <x:c r="C484" s="49" t="str">
        <x:v>Credit</x:v>
      </x:c>
      <x:c r="D484" s="50" t="str">
        <x:v>PRIN AND INT AUTO_REDEEM 50301239902714</x:v>
      </x:c>
      <x:c r="E484" s="49" t="str">
        <x:v>3304220260228794</x:v>
      </x:c>
      <x:c r="F484" s="49" t="str">
        <x:v>28/02/26</x:v>
      </x:c>
      <x:c r="G484" s="51"/>
      <x:c r="H484" s="51" t="n">
        <x:v>300000</x:v>
      </x:c>
      <x:c r="I484" s="51" t="n">
        <x:v>446003.12</x:v>
      </x:c>
      <x:c r="J484" s="49" t="str">
        <x:v>FD maturity / redemption</x:v>
      </x:c>
      <x:c r="K484" s="49" t="str">
        <x:v>Investment</x:v>
      </x:c>
      <x:c r="L484" s="52" t="str">
        <x:v>Pending source matching</x:v>
      </x:c>
      <x:c r="M484" s="49" t="str">
        <x:v>None</x:v>
      </x:c>
      <x:c r="N484" s="53" t="str">
        <x:v>Feb2026.xlsx</x:v>
      </x:c>
    </x:row>
  </x:sheetData>
  <x:mergeCells>
    <x:mergeCell ref="A1:N1"/>
  </x:mergeCells>
  <x:conditionalFormatting sqref="M4:M484">
    <x:cfRule type="containsText" dxfId="0" priority="1" operator="containsText" text="Possible duplica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8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75" hidden="0" customWidth="1"/>
  </x:cols>
  <x:sheetData>
    <x:row r="1" ht="25" customHeight="1">
      <x:c r="A1" s="4" t="str">
        <x:v>FD / investment movements — separately classified from operating cash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Date</x:v>
      </x:c>
      <x:c r="B3" s="17" t="str">
        <x:v>Month</x:v>
      </x:c>
      <x:c r="C3" s="17" t="str">
        <x:v>Movement</x:v>
      </x:c>
      <x:c r="D3" s="17" t="str">
        <x:v>Reference</x:v>
      </x:c>
      <x:c r="E3" s="17" t="str">
        <x:v>Debit</x:v>
      </x:c>
      <x:c r="F3" s="17" t="str">
        <x:v>Credit</x:v>
      </x:c>
      <x:c r="G3" s="17" t="str">
        <x:v>Closing balance</x:v>
      </x:c>
      <x:c r="H3" s="18" t="str">
        <x:v>Narration</x:v>
      </x:c>
    </x:row>
    <x:row r="4">
      <x:c r="A4" s="41" t="n">
        <x:v>45764</x:v>
      </x:c>
      <x:c r="B4" t="str">
        <x:v>Apr-25</x:v>
      </x:c>
      <x:c r="C4" t="str">
        <x:v>FD investment</x:v>
      </x:c>
      <x:c r="D4" t="str">
        <x:v>IB18164116478764</x:v>
      </x:c>
      <x:c r="E4" s="42" t="n">
        <x:v>200000</x:v>
      </x:c>
      <x:c r="F4" s="42"/>
      <x:c r="G4" s="42" t="n">
        <x:v>240838.52</x:v>
      </x:c>
      <x:c r="H4" s="19" t="str">
        <x:v>FD THROUGH NET-50301146438020:MONT VERT BIARRITZ CO OP HOUSING SOC LTD</x:v>
      </x:c>
    </x:row>
    <x:row r="5">
      <x:c r="A5" s="41" t="n">
        <x:v>45764</x:v>
      </x:c>
      <x:c r="B5" t="str">
        <x:v>Apr-25</x:v>
      </x:c>
      <x:c r="C5" t="str">
        <x:v>FD investment</x:v>
      </x:c>
      <x:c r="D5" t="str">
        <x:v>IB18164234800148</x:v>
      </x:c>
      <x:c r="E5" s="42" t="n">
        <x:v>200000</x:v>
      </x:c>
      <x:c r="F5" s="42"/>
      <x:c r="G5" s="42" t="n">
        <x:v>40838.52</x:v>
      </x:c>
      <x:c r="H5" s="19" t="str">
        <x:v>FD THROUGH NET-50301146438375:MONT VERT BIARRITZ CO OP HOUSING SOC LTD</x:v>
      </x:c>
    </x:row>
    <x:row r="6">
      <x:c r="A6" s="41" t="n">
        <x:v>45777</x:v>
      </x:c>
      <x:c r="B6" t="str">
        <x:v>May-25</x:v>
      </x:c>
      <x:c r="C6" t="str">
        <x:v>FD investment</x:v>
      </x:c>
      <x:c r="D6" t="str">
        <x:v>IB01144807156537</x:v>
      </x:c>
      <x:c r="E6" s="42" t="n">
        <x:v>200000</x:v>
      </x:c>
      <x:c r="F6" s="42"/>
      <x:c r="G6" s="42" t="n">
        <x:v>697548.28</x:v>
      </x:c>
      <x:c r="H6" s="19" t="str">
        <x:v>FD THROUGH NET-50301152472182:MONT VERT BIARRITZ CO OP HOUSING SOC LTD</x:v>
      </x:c>
    </x:row>
    <x:row r="7">
      <x:c r="A7" s="41" t="n">
        <x:v>45777</x:v>
      </x:c>
      <x:c r="B7" t="str">
        <x:v>May-25</x:v>
      </x:c>
      <x:c r="C7" t="str">
        <x:v>FD investment</x:v>
      </x:c>
      <x:c r="D7" t="str">
        <x:v>IB01144916670686</x:v>
      </x:c>
      <x:c r="E7" s="42" t="n">
        <x:v>200000</x:v>
      </x:c>
      <x:c r="F7" s="42"/>
      <x:c r="G7" s="42" t="n">
        <x:v>497548.28</x:v>
      </x:c>
      <x:c r="H7" s="19" t="str">
        <x:v>FD THROUGH NET-50301152473159:MONT VERT BIARRITZ CO OP HOUSING SOC LTD</x:v>
      </x:c>
    </x:row>
    <x:row r="8">
      <x:c r="A8" s="41" t="n">
        <x:v>45786</x:v>
      </x:c>
      <x:c r="B8" t="str">
        <x:v>May-25</x:v>
      </x:c>
      <x:c r="C8" t="str">
        <x:v>FD investment</x:v>
      </x:c>
      <x:c r="D8" t="str">
        <x:v>IB10112807742999</x:v>
      </x:c>
      <x:c r="E8" s="42" t="n">
        <x:v>200000</x:v>
      </x:c>
      <x:c r="F8" s="42"/>
      <x:c r="G8" s="42" t="n">
        <x:v>599006.8</x:v>
      </x:c>
      <x:c r="H8" s="19" t="str">
        <x:v>FD THROUGH NET-50301157693611:MONT VERT BIARRITZ CO OP HOUSING SOC LTD</x:v>
      </x:c>
    </x:row>
    <x:row r="9">
      <x:c r="A9" s="41" t="n">
        <x:v>45807</x:v>
      </x:c>
      <x:c r="B9" t="str">
        <x:v>May-25</x:v>
      </x:c>
      <x:c r="C9" t="str">
        <x:v>FD maturity / redemption</x:v>
      </x:c>
      <x:c r="D9" t="str">
        <x:v>3304220250531810</x:v>
      </x:c>
      <x:c r="E9" s="42"/>
      <x:c r="F9" s="42" t="n">
        <x:v>200000</x:v>
      </x:c>
      <x:c r="G9" s="42" t="n">
        <x:v>733295.79</x:v>
      </x:c>
      <x:c r="H9" s="19" t="str">
        <x:v>PRIN AND INT AUTO_REDEEM 50301146438020</x:v>
      </x:c>
    </x:row>
    <x:row r="10">
      <x:c r="A10" s="41" t="n">
        <x:v>45837</x:v>
      </x:c>
      <x:c r="B10" t="str">
        <x:v>Jun-25</x:v>
      </x:c>
      <x:c r="C10" t="str">
        <x:v>FD maturity / redemption</x:v>
      </x:c>
      <x:c r="D10" t="str">
        <x:v>3304220250630793</x:v>
      </x:c>
      <x:c r="E10" s="42"/>
      <x:c r="F10" s="42" t="n">
        <x:v>200000</x:v>
      </x:c>
      <x:c r="G10" s="42" t="n">
        <x:v>511805.36</x:v>
      </x:c>
      <x:c r="H10" s="19" t="str">
        <x:v>PRIN AND INT AUTO_REDEEM 50301146438375</x:v>
      </x:c>
    </x:row>
    <x:row r="11">
      <x:c r="A11" s="41" t="n">
        <x:v>45868</x:v>
      </x:c>
      <x:c r="B11" t="str">
        <x:v>Jul-25</x:v>
      </x:c>
      <x:c r="C11" t="str">
        <x:v>FD maturity / redemption</x:v>
      </x:c>
      <x:c r="D11" t="str">
        <x:v>3304220250731804</x:v>
      </x:c>
      <x:c r="E11" s="42"/>
      <x:c r="F11" s="42" t="n">
        <x:v>200000</x:v>
      </x:c>
      <x:c r="G11" s="42" t="n">
        <x:v>306492.54</x:v>
      </x:c>
      <x:c r="H11" s="19" t="str">
        <x:v>PRIN AND INT AUTO_REDEEM 50301152472182</x:v>
      </x:c>
    </x:row>
    <x:row r="12">
      <x:c r="A12" s="41" t="n">
        <x:v>45898</x:v>
      </x:c>
      <x:c r="B12" t="str">
        <x:v>Aug-25</x:v>
      </x:c>
      <x:c r="C12" t="str">
        <x:v>FD maturity / redemption</x:v>
      </x:c>
      <x:c r="D12" t="str">
        <x:v>3304220250830800</x:v>
      </x:c>
      <x:c r="E12" s="42"/>
      <x:c r="F12" s="42" t="n">
        <x:v>200000</x:v>
      </x:c>
      <x:c r="G12" s="42" t="n">
        <x:v>399684.54</x:v>
      </x:c>
      <x:c r="H12" s="19" t="str">
        <x:v>PRIN AND INT AUTO_REDEEM 50301152473159</x:v>
      </x:c>
    </x:row>
    <x:row r="13">
      <x:c r="A13" s="41" t="n">
        <x:v>45926</x:v>
      </x:c>
      <x:c r="B13" t="str">
        <x:v>Sep-25</x:v>
      </x:c>
      <x:c r="C13" t="str">
        <x:v>FD maturity / redemption</x:v>
      </x:c>
      <x:c r="D13" t="str">
        <x:v>3304220250927806</x:v>
      </x:c>
      <x:c r="E13" s="42"/>
      <x:c r="F13" s="42" t="n">
        <x:v>200000</x:v>
      </x:c>
      <x:c r="G13" s="42" t="n">
        <x:v>269527.22</x:v>
      </x:c>
      <x:c r="H13" s="19" t="str">
        <x:v>PRIN AND INT AUTO_REDEEM 50301157693611</x:v>
      </x:c>
    </x:row>
    <x:row r="14">
      <x:c r="A14" s="41" t="n">
        <x:v>45936</x:v>
      </x:c>
      <x:c r="B14" t="str">
        <x:v>Oct-25</x:v>
      </x:c>
      <x:c r="C14" t="str">
        <x:v>FD investment</x:v>
      </x:c>
      <x:c r="D14" t="str">
        <x:v>IB07180002442183</x:v>
      </x:c>
      <x:c r="E14" s="42" t="n">
        <x:v>300000</x:v>
      </x:c>
      <x:c r="F14" s="42"/>
      <x:c r="G14" s="42" t="n">
        <x:v>343827.22</x:v>
      </x:c>
      <x:c r="H14" s="19" t="str">
        <x:v>FD THROUGH NET-50301228184812:MONT VERT BIARRITZ CO OP HOUSING SOC LTD</x:v>
      </x:c>
    </x:row>
    <x:row r="15">
      <x:c r="A15" s="41" t="n">
        <x:v>45957</x:v>
      </x:c>
      <x:c r="B15" t="str">
        <x:v>Oct-25</x:v>
      </x:c>
      <x:c r="C15" t="str">
        <x:v>FD investment</x:v>
      </x:c>
      <x:c r="D15" t="str">
        <x:v>IB28181344554524</x:v>
      </x:c>
      <x:c r="E15" s="42" t="n">
        <x:v>300000</x:v>
      </x:c>
      <x:c r="F15" s="42"/>
      <x:c r="G15" s="42" t="n">
        <x:v>354703.22</x:v>
      </x:c>
      <x:c r="H15" s="19" t="str">
        <x:v>FD THROUGH NET-50301237435966:MONT VERT BIARRITZ CO OP HOUSING SOC LTD</x:v>
      </x:c>
    </x:row>
    <x:row r="16">
      <x:c r="A16" s="41" t="n">
        <x:v>45959</x:v>
      </x:c>
      <x:c r="B16" t="str">
        <x:v>Oct-25</x:v>
      </x:c>
      <x:c r="C16" t="str">
        <x:v>FD investment</x:v>
      </x:c>
      <x:c r="D16" t="str">
        <x:v>IB30164421702946</x:v>
      </x:c>
      <x:c r="E16" s="42" t="n">
        <x:v>300000</x:v>
      </x:c>
      <x:c r="F16" s="42"/>
      <x:c r="G16" s="42" t="n">
        <x:v>215303.22</x:v>
      </x:c>
      <x:c r="H16" s="19" t="str">
        <x:v>FD THROUGH NET-50301238374562:MONT VERT BIARRITZ CO OP HOUSING SOC LTD</x:v>
      </x:c>
    </x:row>
    <x:row r="17">
      <x:c r="A17" s="41" t="n">
        <x:v>45961</x:v>
      </x:c>
      <x:c r="B17" t="str">
        <x:v>Nov-25</x:v>
      </x:c>
      <x:c r="C17" t="str">
        <x:v>FD investment</x:v>
      </x:c>
      <x:c r="D17" t="str">
        <x:v>IB01173901194605</x:v>
      </x:c>
      <x:c r="E17" s="42" t="n">
        <x:v>300000</x:v>
      </x:c>
      <x:c r="F17" s="42"/>
      <x:c r="G17" s="42" t="n">
        <x:v>738744.44</x:v>
      </x:c>
      <x:c r="H17" s="19" t="str">
        <x:v>FD THROUGH NET-50301239902714:MONT VERT BIARRITZ CO OP HOUSING SOC LTD</x:v>
      </x:c>
    </x:row>
    <x:row r="18">
      <x:c r="A18" s="41" t="n">
        <x:v>45961</x:v>
      </x:c>
      <x:c r="B18" t="str">
        <x:v>Nov-25</x:v>
      </x:c>
      <x:c r="C18" t="str">
        <x:v>FD investment</x:v>
      </x:c>
      <x:c r="D18" t="str">
        <x:v>IB01174137810645</x:v>
      </x:c>
      <x:c r="E18" s="42" t="n">
        <x:v>300000</x:v>
      </x:c>
      <x:c r="F18" s="42"/>
      <x:c r="G18" s="42" t="n">
        <x:v>438744.44</x:v>
      </x:c>
      <x:c r="H18" s="19" t="str">
        <x:v>FD THROUGH NET-50301239905456:MONT VERT BIARRITZ CO OP HOUSING SOC LTD</x:v>
      </x:c>
    </x:row>
    <x:row r="19">
      <x:c r="A19" s="41" t="n">
        <x:v>45990</x:v>
      </x:c>
      <x:c r="B19" t="str">
        <x:v>Nov-25</x:v>
      </x:c>
      <x:c r="C19" t="str">
        <x:v>FD maturity / redemption</x:v>
      </x:c>
      <x:c r="D19" t="str">
        <x:v>3304220251130808</x:v>
      </x:c>
      <x:c r="E19" s="42"/>
      <x:c r="F19" s="42" t="n">
        <x:v>300000</x:v>
      </x:c>
      <x:c r="G19" s="42" t="n">
        <x:v>549699.53</x:v>
      </x:c>
      <x:c r="H19" s="19" t="str">
        <x:v>PRIN AND INT AUTO_REDEEM 50301228184812</x:v>
      </x:c>
    </x:row>
    <x:row r="20">
      <x:c r="A20" s="41" t="n">
        <x:v>46021</x:v>
      </x:c>
      <x:c r="B20" t="str">
        <x:v>Dec-25</x:v>
      </x:c>
      <x:c r="C20" t="str">
        <x:v>FD maturity / redemption</x:v>
      </x:c>
      <x:c r="D20" t="str">
        <x:v>3304220251231805</x:v>
      </x:c>
      <x:c r="E20" s="42"/>
      <x:c r="F20" s="42" t="n">
        <x:v>300000</x:v>
      </x:c>
      <x:c r="G20" s="42" t="n">
        <x:v>960102.92</x:v>
      </x:c>
      <x:c r="H20" s="19" t="str">
        <x:v>PRIN AND INT AUTO_REDEEM 50301237435966</x:v>
      </x:c>
    </x:row>
    <x:row r="21">
      <x:c r="A21" s="41" t="n">
        <x:v>46080</x:v>
      </x:c>
      <x:c r="B21" t="str">
        <x:v>Feb-26</x:v>
      </x:c>
      <x:c r="C21" t="str">
        <x:v>FD maturity / redemption</x:v>
      </x:c>
      <x:c r="D21" t="str">
        <x:v>3304220260228794</x:v>
      </x:c>
      <x:c r="E21" s="42"/>
      <x:c r="F21" s="42" t="n">
        <x:v>300000</x:v>
      </x:c>
      <x:c r="G21" s="42" t="n">
        <x:v>446003.12</x:v>
      </x:c>
      <x:c r="H21" s="19" t="str">
        <x:v>PRIN AND INT AUTO_REDEEM 50301239902714</x:v>
      </x:c>
    </x:row>
    <x:row r="22">
      <x:c r="A22" s="56" t="str">
        <x:v>Net available-source investment movement</x:v>
      </x:c>
      <x:c r="B22" s="56"/>
      <x:c r="C22" s="56"/>
      <x:c r="D22" s="56"/>
      <x:c r="E22" s="56" t="n">
        <x:f>SUM(E4:E21)</x:f>
        <x:v>2500000</x:v>
      </x:c>
      <x:c r="F22" s="56" t="n">
        <x:f>SUM(F4:F21)</x:f>
        <x:v>1900000</x:v>
      </x:c>
      <x:c r="G22" s="56"/>
      <x:c r="H22" s="56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15" hidden="0" customWidth="1"/>
    <x:col min="4" max="4" width="16" hidden="0" customWidth="1"/>
    <x:col min="5" max="5" width="25" hidden="0" customWidth="1"/>
    <x:col min="6" max="6" width="70" hidden="0" customWidth="1"/>
    <x:col min="7" max="7" width="52" hidden="0" customWidth="1"/>
    <x:col min="8" max="8" width="44" hidden="0" customWidth="1"/>
  </x:cols>
  <x:sheetData>
    <x:row r="1" ht="25" customHeight="1">
      <x:c r="A1" s="4" t="str">
        <x:v>Exception register — evidence-based from available bank statements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Priority</x:v>
      </x:c>
      <x:c r="B3" s="17" t="str">
        <x:v>Exception type</x:v>
      </x:c>
      <x:c r="C3" s="17" t="str">
        <x:v>Date / period</x:v>
      </x:c>
      <x:c r="D3" s="17" t="str">
        <x:v>Amount</x:v>
      </x:c>
      <x:c r="E3" s="17" t="str">
        <x:v>Reference</x:v>
      </x:c>
      <x:c r="F3" s="17" t="str">
        <x:v>Description</x:v>
      </x:c>
      <x:c r="G3" s="17" t="str">
        <x:v>Why it matters</x:v>
      </x:c>
      <x:c r="H3" s="18" t="str">
        <x:v>Action owner / next step</x:v>
      </x:c>
    </x:row>
    <x:row r="4">
      <x:c r="A4" s="19" t="str">
        <x:v>High</x:v>
      </x:c>
      <x:c r="B4" s="19" t="str">
        <x:v>Incomplete source pack</x:v>
      </x:c>
      <x:c r="C4" s="19" t="str">
        <x:v>FY2025–26</x:v>
      </x:c>
      <x:c r="D4" s="66"/>
      <x:c r="E4" s="19"/>
      <x:c r="F4" s="19" t="str">
        <x:v>Jan-26 and Mar-26 statements plus collection, expense and Copilot reports are not accessible in this task.</x:v>
      </x:c>
      <x:c r="G4" s="19" t="str">
        <x:v>A full cross-system reconciliation cannot be substantiated.</x:v>
      </x:c>
      <x:c r="H4" s="19" t="str">
        <x:v>Reattach the five missing files; rerun matching rules.</x:v>
      </x:c>
    </x:row>
    <x:row r="5">
      <x:c r="A5" s="19" t="str">
        <x:v>Medium</x:v>
      </x:c>
      <x:c r="B5" s="19" t="str">
        <x:v>Investment cash must be segregated</x:v>
      </x:c>
      <x:c r="C5" s="19" t="str">
        <x:v>Available-source period</x:v>
      </x:c>
      <x:c r="D5" s="66" t="n">
        <x:v>2500000</x:v>
      </x:c>
      <x:c r="E5" s="19"/>
      <x:c r="F5" s="19" t="str">
        <x:v>FD investments booked as bank debits.</x:v>
      </x:c>
      <x:c r="G5" s="19" t="str">
        <x:v>Treating them as expenses would overstate operating spend.</x:v>
      </x:c>
      <x:c r="H5" s="19" t="str">
        <x:v>Maintain a separate FD register with principal, rate, maturity and bank reference.</x:v>
      </x:c>
    </x:row>
    <x:row r="6">
      <x:c r="A6" s="19" t="str">
        <x:v>Medium</x:v>
      </x:c>
      <x:c r="B6" s="19" t="str">
        <x:v>Investment maturities must be segregated</x:v>
      </x:c>
      <x:c r="C6" s="19" t="str">
        <x:v>Available-source period</x:v>
      </x:c>
      <x:c r="D6" s="66" t="n">
        <x:v>1900000</x:v>
      </x:c>
      <x:c r="E6" s="19"/>
      <x:c r="F6" s="19" t="str">
        <x:v>FD redemption credits identified from narration.</x:v>
      </x:c>
      <x:c r="G6" s="19" t="str">
        <x:v>Treating them as collections would overstate operating receipts.</x:v>
      </x:c>
      <x:c r="H6" s="19" t="str">
        <x:v>Map every redemption to the FD register and interest income.</x:v>
      </x:c>
    </x:row>
    <x:row r="7">
      <x:c r="A7" s="19" t="str">
        <x:v>Medium</x:v>
      </x:c>
      <x:c r="B7" s="19" t="str">
        <x:v>Other bank credit</x:v>
      </x:c>
      <x:c r="C7" s="19" t="str">
        <x:v>2025-04-23</x:v>
      </x:c>
      <x:c r="D7" s="66" t="n">
        <x:v>26500</x:v>
      </x:c>
      <x:c r="E7" s="19" t="str">
        <x:v>0000000000390887</x:v>
      </x:c>
      <x:c r="F7" s="19" t="str">
        <x:v>CHQ DEP MICR8 CLG MODEL COLONY - MICR 8: KULBHUSHAN KHANNA :STATE BANK OF INDIA</x:v>
      </x:c>
      <x:c r="G7" s="19" t="str">
        <x:v>Requires ledger support before it can be assigned to collection, expense, transfer or other income.</x:v>
      </x:c>
      <x:c r="H7" s="19" t="str">
        <x:v>Obtain voucher/receipt and assign accounting code.</x:v>
      </x:c>
    </x:row>
    <x:row r="8">
      <x:c r="A8" s="19" t="str">
        <x:v>Medium</x:v>
      </x:c>
      <x:c r="B8" s="19" t="str">
        <x:v>Other bank credit</x:v>
      </x:c>
      <x:c r="C8" s="19" t="str">
        <x:v>2025-04-25</x:v>
      </x:c>
      <x:c r="D8" s="66" t="n">
        <x:v>26500</x:v>
      </x:c>
      <x:c r="E8" s="19" t="str">
        <x:v>0000000223664899</x:v>
      </x:c>
      <x:c r="F8" s="19" t="str">
        <x:v>00071050099168-TPT-B604 APR SEP25 MAINTENANCE CHARGES-VISHWANATH SHARANAPPA LINGAYAT</x:v>
      </x:c>
      <x:c r="G8" s="19" t="str">
        <x:v>Requires ledger support before it can be assigned to collection, expense, transfer or other income.</x:v>
      </x:c>
      <x:c r="H8" s="19" t="str">
        <x:v>Obtain voucher/receipt and assign accounting code.</x:v>
      </x:c>
    </x:row>
    <x:row r="9">
      <x:c r="A9" s="19" t="str">
        <x:v>Medium</x:v>
      </x:c>
      <x:c r="B9" s="19" t="str">
        <x:v>Other bank credit</x:v>
      </x:c>
      <x:c r="C9" s="19" t="str">
        <x:v>2025-04-27</x:v>
      </x:c>
      <x:c r="D9" s="66" t="n">
        <x:v>24500</x:v>
      </x:c>
      <x:c r="E9" s="19" t="str">
        <x:v>0000000806943945</x:v>
      </x:c>
      <x:c r="F9" s="19" t="str">
        <x:v>01491000070878-TPT-B102 APR-SEPT 25-SONAL AMIT JOGLEKAR</x:v>
      </x:c>
      <x:c r="G9" s="19" t="str">
        <x:v>Requires ledger support before it can be assigned to collection, expense, transfer or other income.</x:v>
      </x:c>
      <x:c r="H9" s="19" t="str">
        <x:v>Obtain voucher/receipt and assign accounting code.</x:v>
      </x:c>
    </x:row>
    <x:row r="10">
      <x:c r="A10" s="19" t="str">
        <x:v>Medium</x:v>
      </x:c>
      <x:c r="B10" s="19" t="str">
        <x:v>Other bank credit</x:v>
      </x:c>
      <x:c r="C10" s="19" t="str">
        <x:v>2025-05-18</x:v>
      </x:c>
      <x:c r="D10" s="66" t="n">
        <x:v>26500</x:v>
      </x:c>
      <x:c r="E10" s="19" t="str">
        <x:v>0000000000001849</x:v>
      </x:c>
      <x:c r="F10" s="19" t="str">
        <x:v>CHQ DEP MICR8 CLG MODEL COLONY - MICR 8: JAYVEER    A  YADAV :NORTH KANARA G.S.B. COOP BANK  LTD</x:v>
      </x:c>
      <x:c r="G10" s="19" t="str">
        <x:v>Requires ledger support before it can be assigned to collection, expense, transfer or other income.</x:v>
      </x:c>
      <x:c r="H10" s="19" t="str">
        <x:v>Obtain voucher/receipt and assign accounting code.</x:v>
      </x:c>
    </x:row>
    <x:row r="11">
      <x:c r="A11" s="19" t="str">
        <x:v>Medium</x:v>
      </x:c>
      <x:c r="B11" s="19" t="str">
        <x:v>Unclassified bank debit</x:v>
      </x:c>
      <x:c r="C11" s="19" t="str">
        <x:v>2025-05-19</x:v>
      </x:c>
      <x:c r="D11" s="66" t="n">
        <x:v>26500</x:v>
      </x:c>
      <x:c r="E11" s="19" t="str">
        <x:v>0000000000001849</x:v>
      </x:c>
      <x:c r="F11" s="19" t="str">
        <x:v>CHQ DEP RET- ACCOUNT BLOCKED</x:v>
      </x:c>
      <x:c r="G11" s="19" t="str">
        <x:v>Requires ledger support before it can be assigned to collection, expense, transfer or other income.</x:v>
      </x:c>
      <x:c r="H11" s="19" t="str">
        <x:v>Obtain voucher/receipt and assign accounting code.</x:v>
      </x:c>
    </x:row>
    <x:row r="12">
      <x:c r="A12" s="19" t="str">
        <x:v>Medium</x:v>
      </x:c>
      <x:c r="B12" s="19" t="str">
        <x:v>Other bank credit</x:v>
      </x:c>
      <x:c r="C12" s="19" t="str">
        <x:v>2025-05-26</x:v>
      </x:c>
      <x:c r="D12" s="66" t="n">
        <x:v>26500</x:v>
      </x:c>
      <x:c r="E12" s="19" t="str">
        <x:v>0000000000001849</x:v>
      </x:c>
      <x:c r="F12" s="19" t="str">
        <x:v>CHQ DEP MICR8 CLG MODEL COLONY - MICR 8: JAYVEER YADAV :NORTH KANARA G.S.B. COOP BANK  LTD</x:v>
      </x:c>
      <x:c r="G12" s="19" t="str">
        <x:v>Requires ledger support before it can be assigned to collection, expense, transfer or other income.</x:v>
      </x:c>
      <x:c r="H12" s="19" t="str">
        <x:v>Obtain voucher/receipt and assign accounting code.</x:v>
      </x:c>
    </x:row>
    <x:row r="13">
      <x:c r="A13" s="19" t="str">
        <x:v>Medium</x:v>
      </x:c>
      <x:c r="B13" s="19" t="str">
        <x:v>Other bank credit</x:v>
      </x:c>
      <x:c r="C13" s="19" t="str">
        <x:v>2025-07-04</x:v>
      </x:c>
      <x:c r="D13" s="66" t="n">
        <x:v>58308</x:v>
      </x:c>
      <x:c r="E13" s="19" t="str">
        <x:v>0000000131990203</x:v>
      </x:c>
      <x:c r="F13" s="19" t="str">
        <x:v>50200033875780-TPT-B 701 702-SAICON CONSTRUCTIONS AND INFRA LLP</x:v>
      </x:c>
      <x:c r="G13" s="19" t="str">
        <x:v>Requires ledger support before it can be assigned to collection, expense, transfer or other income.</x:v>
      </x:c>
      <x:c r="H13" s="19" t="str">
        <x:v>Obtain voucher/receipt and assign accounting code.</x:v>
      </x:c>
    </x:row>
    <x:row r="14">
      <x:c r="A14" s="19" t="str">
        <x:v>Medium</x:v>
      </x:c>
      <x:c r="B14" s="19" t="str">
        <x:v>Other bank credit</x:v>
      </x:c>
      <x:c r="C14" s="19" t="str">
        <x:v>2025-08-04</x:v>
      </x:c>
      <x:c r="D14" s="66" t="n">
        <x:v>300000</x:v>
      </x:c>
      <x:c r="E14" s="19" t="str">
        <x:v>0000000000037078</x:v>
      </x:c>
      <x:c r="F14" s="19" t="str">
        <x:v>CHQ DEP MICR8 CLG MODEL COLONY - MICR 8: MONT VERT BIARRITZ CO OP HSG SOC LTD :SARASWAT COOPERATIVE BANK LTD</x:v>
      </x:c>
      <x:c r="G14" s="19" t="str">
        <x:v>Requires ledger support before it can be assigned to collection, expense, transfer or other income.</x:v>
      </x:c>
      <x:c r="H14" s="19" t="str">
        <x:v>Obtain voucher/receipt and assign accounting code.</x:v>
      </x:c>
    </x:row>
    <x:row r="15">
      <x:c r="A15" s="19" t="str">
        <x:v>Medium</x:v>
      </x:c>
      <x:c r="B15" s="19" t="str">
        <x:v>Other bank credit</x:v>
      </x:c>
      <x:c r="C15" s="19" t="str">
        <x:v>2025-08-10</x:v>
      </x:c>
      <x:c r="D15" s="66" t="n">
        <x:v>159294</x:v>
      </x:c>
      <x:c r="E15" s="19" t="str">
        <x:v>0000000000000804</x:v>
      </x:c>
      <x:c r="F15" s="19" t="str">
        <x:v>I/W CHQ RET-AMOUNTS IN WORDS AND FIGURES</x:v>
      </x:c>
      <x:c r="G15" s="19" t="str">
        <x:v>Requires ledger support before it can be assigned to collection, expense, transfer or other income.</x:v>
      </x:c>
      <x:c r="H15" s="19" t="str">
        <x:v>Obtain voucher/receipt and assign accounting code.</x:v>
      </x:c>
    </x:row>
    <x:row r="16">
      <x:c r="A16" s="19" t="str">
        <x:v>Medium</x:v>
      </x:c>
      <x:c r="B16" s="19" t="str">
        <x:v>Other bank credit</x:v>
      </x:c>
      <x:c r="C16" s="19" t="str">
        <x:v>2025-10-08</x:v>
      </x:c>
      <x:c r="D16" s="66" t="n">
        <x:v>5000</x:v>
      </x:c>
      <x:c r="E16" s="19" t="str">
        <x:v>0000000000000830</x:v>
      </x:c>
      <x:c r="F16" s="19" t="str">
        <x:v>I/W CHQ RET-JOINT SIGNATURE REQUIRED</x:v>
      </x:c>
      <x:c r="G16" s="19" t="str">
        <x:v>Requires ledger support before it can be assigned to collection, expense, transfer or other income.</x:v>
      </x:c>
      <x:c r="H16" s="19" t="str">
        <x:v>Obtain voucher/receipt and assign accounting code.</x:v>
      </x:c>
    </x:row>
    <x:row r="17">
      <x:c r="A17" s="19" t="str">
        <x:v>Medium</x:v>
      </x:c>
      <x:c r="B17" s="19" t="str">
        <x:v>Other bank credit</x:v>
      </x:c>
      <x:c r="C17" s="19" t="str">
        <x:v>2025-10-21</x:v>
      </x:c>
      <x:c r="D17" s="66" t="n">
        <x:v>30000</x:v>
      </x:c>
      <x:c r="E17" s="19" t="str">
        <x:v>0000001266765308</x:v>
      </x:c>
      <x:c r="F17" s="19" t="str">
        <x:v>02231610017226-TPT-A201 JULIAN SOCIETY MAINTENANCE-MATHEW GEORGINA</x:v>
      </x:c>
      <x:c r="G17" s="19" t="str">
        <x:v>Requires ledger support before it can be assigned to collection, expense, transfer or other income.</x:v>
      </x:c>
      <x:c r="H17" s="19" t="str">
        <x:v>Obtain voucher/receipt and assign accounting code.</x:v>
      </x:c>
    </x:row>
    <x:row r="18">
      <x:c r="A18" s="19" t="str">
        <x:v>Medium</x:v>
      </x:c>
      <x:c r="B18" s="19" t="str">
        <x:v>Other bank credit</x:v>
      </x:c>
      <x:c r="C18" s="19" t="str">
        <x:v>2025-10-26</x:v>
      </x:c>
      <x:c r="D18" s="66" t="n">
        <x:v>32400</x:v>
      </x:c>
      <x:c r="E18" s="19" t="str">
        <x:v>0000000000000047</x:v>
      </x:c>
      <x:c r="F18" s="19" t="str">
        <x:v>FT - CR - 00521000095939 - SUMANLATA HEMENDRA SINGH</x:v>
      </x:c>
      <x:c r="G18" s="19" t="str">
        <x:v>Requires ledger support before it can be assigned to collection, expense, transfer or other income.</x:v>
      </x:c>
      <x:c r="H18" s="19" t="str">
        <x:v>Obtain voucher/receipt and assign accounting code.</x:v>
      </x:c>
    </x:row>
    <x:row r="19">
      <x:c r="A19" s="19" t="str">
        <x:v>Medium</x:v>
      </x:c>
      <x:c r="B19" s="19" t="str">
        <x:v>Other bank credit</x:v>
      </x:c>
      <x:c r="C19" s="19" t="str">
        <x:v>2025-10-26</x:v>
      </x:c>
      <x:c r="D19" s="66" t="n">
        <x:v>5000</x:v>
      </x:c>
      <x:c r="E19" s="19" t="str">
        <x:v>0000000000000829</x:v>
      </x:c>
      <x:c r="F19" s="19" t="str">
        <x:v>I/W CHQ RET-INSTRUMENT POST DATED</x:v>
      </x:c>
      <x:c r="G19" s="19" t="str">
        <x:v>Requires ledger support before it can be assigned to collection, expense, transfer or other income.</x:v>
      </x:c>
      <x:c r="H19" s="19" t="str">
        <x:v>Obtain voucher/receipt and assign accounting code.</x:v>
      </x:c>
    </x:row>
    <x:row r="20">
      <x:c r="A20" s="19" t="str">
        <x:v>Medium</x:v>
      </x:c>
      <x:c r="B20" s="19" t="str">
        <x:v>Other bank credit</x:v>
      </x:c>
      <x:c r="C20" s="19" t="str">
        <x:v>2025-10-27</x:v>
      </x:c>
      <x:c r="D20" s="66" t="n">
        <x:v>32400</x:v>
      </x:c>
      <x:c r="E20" s="19" t="str">
        <x:v>0000000000361462</x:v>
      </x:c>
      <x:c r="F20" s="19" t="str">
        <x:v>CHQ DEP MICR8 CLG MODEL COLONY - CTS CLG: KUL B KHNNA :PUNJAB NATIONAL BANK</x:v>
      </x:c>
      <x:c r="G20" s="19" t="str">
        <x:v>Requires ledger support before it can be assigned to collection, expense, transfer or other income.</x:v>
      </x:c>
      <x:c r="H20" s="19" t="str">
        <x:v>Obtain voucher/receipt and assign accounting code.</x:v>
      </x:c>
    </x:row>
    <x:row r="21">
      <x:c r="A21" s="19" t="str">
        <x:v>Medium</x:v>
      </x:c>
      <x:c r="B21" s="19" t="str">
        <x:v>Other bank credit</x:v>
      </x:c>
      <x:c r="C21" s="19" t="str">
        <x:v>2025-10-30</x:v>
      </x:c>
      <x:c r="D21" s="66" t="n">
        <x:v>32000</x:v>
      </x:c>
      <x:c r="E21" s="19" t="str">
        <x:v>0000001023725775</x:v>
      </x:c>
      <x:c r="F21" s="19" t="str">
        <x:v>00071050099168-TPT-B604 OCT MAR26 MAINT-VISHWANATH SHARANAPPA LINGAYAT</x:v>
      </x:c>
      <x:c r="G21" s="19" t="str">
        <x:v>Requires ledger support before it can be assigned to collection, expense, transfer or other income.</x:v>
      </x:c>
      <x:c r="H21" s="19" t="str">
        <x:v>Obtain voucher/receipt and assign accounting code.</x:v>
      </x:c>
    </x:row>
    <x:row r="22">
      <x:c r="A22" s="19" t="str">
        <x:v>Medium</x:v>
      </x:c>
      <x:c r="B22" s="19" t="str">
        <x:v>Other bank credit</x:v>
      </x:c>
      <x:c r="C22" s="19" t="str">
        <x:v>2025-10-30</x:v>
      </x:c>
      <x:c r="D22" s="66" t="n">
        <x:v>400</x:v>
      </x:c>
      <x:c r="E22" s="19" t="str">
        <x:v>0000001024002600</x:v>
      </x:c>
      <x:c r="F22" s="19" t="str">
        <x:v>00071050099168-TPT-B604 BILL OCCUPANCY-VISHWANATH SHARANAPPA LINGAYAT</x:v>
      </x:c>
      <x:c r="G22" s="19" t="str">
        <x:v>Requires ledger support before it can be assigned to collection, expense, transfer or other income.</x:v>
      </x:c>
      <x:c r="H22" s="19" t="str">
        <x:v>Obtain voucher/receipt and assign accounting code.</x:v>
      </x:c>
    </x:row>
    <x:row r="23">
      <x:c r="A23" s="19" t="str">
        <x:v>Medium</x:v>
      </x:c>
      <x:c r="B23" s="19" t="str">
        <x:v>Other bank credit</x:v>
      </x:c>
      <x:c r="C23" s="19" t="str">
        <x:v>2025-11-01</x:v>
      </x:c>
      <x:c r="D23" s="66" t="n">
        <x:v>7200</x:v>
      </x:c>
      <x:c r="E23" s="19" t="str">
        <x:v>0000000406812989</x:v>
      </x:c>
      <x:c r="F23" s="19" t="str">
        <x:v>50200033875780-TPT-PARKING-SAICON CONSTRUCTIONS AND INFRA LLP</x:v>
      </x:c>
      <x:c r="G23" s="19" t="str">
        <x:v>Requires ledger support before it can be assigned to collection, expense, transfer or other income.</x:v>
      </x:c>
      <x:c r="H23" s="19" t="str">
        <x:v>Obtain voucher/receipt and assign accounting code.</x:v>
      </x:c>
    </x:row>
    <x:row r="24">
      <x:c r="A24" s="19" t="str">
        <x:v>Medium</x:v>
      </x:c>
      <x:c r="B24" s="19" t="str">
        <x:v>Other bank credit</x:v>
      </x:c>
      <x:c r="C24" s="19" t="str">
        <x:v>2025-11-05</x:v>
      </x:c>
      <x:c r="D24" s="66" t="n">
        <x:v>5000</x:v>
      </x:c>
      <x:c r="E24" s="19" t="str">
        <x:v>0000000000000829</x:v>
      </x:c>
      <x:c r="F24" s="19" t="str">
        <x:v>I/W CHQ RET-INSTRUMENT POST DATED</x:v>
      </x:c>
      <x:c r="G24" s="19" t="str">
        <x:v>Requires ledger support before it can be assigned to collection, expense, transfer or other income.</x:v>
      </x:c>
      <x:c r="H24" s="19" t="str">
        <x:v>Obtain voucher/receipt and assign accounting code.</x:v>
      </x:c>
    </x:row>
    <x:row r="25">
      <x:c r="A25" s="19" t="str">
        <x:v>Medium</x:v>
      </x:c>
      <x:c r="B25" s="19" t="str">
        <x:v>Other bank credit</x:v>
      </x:c>
      <x:c r="C25" s="19" t="str">
        <x:v>2025-11-18</x:v>
      </x:c>
      <x:c r="D25" s="66" t="n">
        <x:v>32400</x:v>
      </x:c>
      <x:c r="E25" s="19" t="str">
        <x:v>0000000000014926</x:v>
      </x:c>
      <x:c r="F25" s="19" t="str">
        <x:v>CHQ DEP MICR8 CLG MODEL COLONY - CTS CLG: JAIVEER A YADAV :NORTH KANARA G.S.B. COOP BANK  LTD</x:v>
      </x:c>
      <x:c r="G25" s="19" t="str">
        <x:v>Requires ledger support before it can be assigned to collection, expense, transfer or other income.</x:v>
      </x:c>
      <x:c r="H25" s="19" t="str">
        <x:v>Obtain voucher/receipt and assign accounting code.</x:v>
      </x:c>
    </x:row>
    <x:row r="26">
      <x:c r="A26" s="19" t="str">
        <x:v>Medium</x:v>
      </x:c>
      <x:c r="B26" s="19" t="str">
        <x:v>Other bank credit</x:v>
      </x:c>
      <x:c r="C26" s="19" t="str">
        <x:v>2025-12-07</x:v>
      </x:c>
      <x:c r="D26" s="66" t="n">
        <x:v>30000</x:v>
      </x:c>
      <x:c r="E26" s="19" t="str">
        <x:v>0000000000548085</x:v>
      </x:c>
      <x:c r="F26" s="19" t="str">
        <x:v>CHQ DEP MICR8 CLG MODEL COLONY - CTS CLG: BRIJESH SINGH :STATE BANK OF INDIA</x:v>
      </x:c>
      <x:c r="G26" s="19" t="str">
        <x:v>Requires ledger support before it can be assigned to collection, expense, transfer or other income.</x:v>
      </x:c>
      <x:c r="H26" s="19" t="str">
        <x:v>Obtain voucher/receipt and assign accounting code.</x:v>
      </x:c>
    </x:row>
    <x:row r="27">
      <x:c r="A27" s="19" t="str">
        <x:v>Medium</x:v>
      </x:c>
      <x:c r="B27" s="19" t="str">
        <x:v>Unclassified bank debit</x:v>
      </x:c>
      <x:c r="C27" s="19" t="str">
        <x:v>2026-02-23</x:v>
      </x:c>
      <x:c r="D27" s="66" t="n">
        <x:v>140245</x:v>
      </x:c>
      <x:c r="E27" s="19" t="str">
        <x:v>0000265533643444</x:v>
      </x:c>
      <x:c r="F27" s="19" t="str">
        <x:v>K4THS5EFAV62FOORCU/PAYUBAJAJGENERALINSU</x:v>
      </x:c>
      <x:c r="G27" s="19" t="str">
        <x:v>Requires ledger support before it can be assigned to collection, expense, transfer or other income.</x:v>
      </x:c>
      <x:c r="H27" s="19" t="str">
        <x:v>Obtain voucher/receipt and assign accounting code.</x:v>
      </x:c>
    </x:row>
  </x:sheetData>
  <x:mergeCells>
    <x:mergeCell ref="A1:H1"/>
  </x:mergeCells>
  <x:conditionalFormatting sqref="A4:A27">
    <x:cfRule type="containsText" dxfId="2" priority="1" operator="containsText" text="High"/>
    <x:cfRule type="containsText" dxfId="3" priority="2" operator="containsText" text="Medium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80" hidden="0" customWidth="1"/>
    <x:col min="4" max="4" width="48" hidden="0" customWidth="1"/>
    <x:col min="5" max="5" width="28" hidden="0" customWidth="1"/>
  </x:cols>
  <x:sheetData>
    <x:row r="1" ht="25" customHeight="1">
      <x:c r="A1" s="4" t="str">
        <x:v>Actionable financial-control recommendations</x:v>
      </x:c>
      <x:c r="B1" s="4"/>
      <x:c r="C1" s="4"/>
      <x:c r="D1" s="4"/>
      <x:c r="E1" s="4"/>
    </x:row>
    <x:row r="3">
      <x:c r="A3" s="16" t="str">
        <x:v>Priority</x:v>
      </x:c>
      <x:c r="B3" s="17" t="str">
        <x:v>Control</x:v>
      </x:c>
      <x:c r="C3" s="17" t="str">
        <x:v>What to implement</x:v>
      </x:c>
      <x:c r="D3" s="17" t="str">
        <x:v>Evidence / frequency</x:v>
      </x:c>
      <x:c r="E3" s="18" t="str">
        <x:v>Owner</x:v>
      </x:c>
    </x:row>
    <x:row r="4">
      <x:c r="A4" s="19" t="str">
        <x:v>1</x:v>
      </x:c>
      <x:c r="B4" s="19" t="str">
        <x:v>Daily bank import &amp; classification</x:v>
      </x:c>
      <x:c r="C4" s="19" t="str">
        <x:v>Import every bank transaction with unique reference, narration and immutable source ID; tag it as collection, operating payment, tax, FD, interest, transfer or exception.</x:v>
      </x:c>
      <x:c r="D4" s="19" t="str">
        <x:v>Automated daily import; weekly review of Unclassified.</x:v>
      </x:c>
      <x:c r="E4" s="19" t="str">
        <x:v>Treasurer / accountant</x:v>
      </x:c>
    </x:row>
    <x:row r="5">
      <x:c r="A5" s="19" t="str">
        <x:v>2</x:v>
      </x:c>
      <x:c r="B5" s="19" t="str">
        <x:v>Tiered collection matching</x:v>
      </x:c>
      <x:c r="C5" s="19" t="str">
        <x:v>Match receipts to credits in this order: exact UTR; exact amount/date; amount within ±3 days; payer/flat/narration; then controlled manual review.</x:v>
      </x:c>
      <x:c r="D5" s="19" t="str">
        <x:v>Weekly exception queue with reviewer and resolution note.</x:v>
      </x:c>
      <x:c r="E5" s="19" t="str">
        <x:v>Accountant</x:v>
      </x:c>
    </x:row>
    <x:row r="6">
      <x:c r="A6" s="19" t="str">
        <x:v>3</x:v>
      </x:c>
      <x:c r="B6" s="19" t="str">
        <x:v>Expense settlement register</x:v>
      </x:c>
      <x:c r="C6" s="19" t="str">
        <x:v>Link each invoice to one or more bank payments, including partial payments, TDS and combined payments. Never use Paid/Unpaid as a free-text status.</x:v>
      </x:c>
      <x:c r="D6" s="19" t="str">
        <x:v>Weekly; monthly close sign-off.</x:v>
      </x:c>
      <x:c r="E6" s="19" t="str">
        <x:v>Accountant</x:v>
      </x:c>
    </x:row>
    <x:row r="7">
      <x:c r="A7" s="19" t="str">
        <x:v>4</x:v>
      </x:c>
      <x:c r="B7" s="19" t="str">
        <x:v>FD sub-ledger</x:v>
      </x:c>
      <x:c r="C7" s="19" t="str">
        <x:v>Maintain principal, booking date, maturity, rate, maturity credit and interest separately from operating cash flow.</x:v>
      </x:c>
      <x:c r="D7" s="19" t="str">
        <x:v>Every booking/redemption; monthly tie-out to bank.</x:v>
      </x:c>
      <x:c r="E7" s="19" t="str">
        <x:v>Treasurer</x:v>
      </x:c>
    </x:row>
    <x:row r="8">
      <x:c r="A8" s="19" t="str">
        <x:v>5</x:v>
      </x:c>
      <x:c r="B8" s="19" t="str">
        <x:v>Month-end control pack</x:v>
      </x:c>
      <x:c r="C8" s="19" t="str">
        <x:v>Publish collection-to-bank, expense-to-bank, bank-to-ledger, duplicate and aged-payable exception reports with evidence links.</x:v>
      </x:c>
      <x:c r="D8" s="19" t="str">
        <x:v>By the 10th working day after month end.</x:v>
      </x:c>
      <x:c r="E8" s="19" t="str">
        <x:v>Treasurer + managing committee</x:v>
      </x:c>
    </x:row>
    <x:row r="9">
      <x:c r="A9" s="19" t="str">
        <x:v>6</x:v>
      </x:c>
      <x:c r="B9" s="19" t="str">
        <x:v>Change control</x:v>
      </x:c>
      <x:c r="C9" s="19" t="str">
        <x:v>Lock reconciled records; require user, timestamp and reason for any UTR, receipt, expense or mapping change.</x:v>
      </x:c>
      <x:c r="D9" s="19" t="str">
        <x:v>Continuous audit trail.</x:v>
      </x:c>
      <x:c r="E9" s="19" t="str">
        <x:v>System administrator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3" max="3" width="14" hidden="0" customWidth="1"/>
    <x:col min="4" max="4" width="15" hidden="0" customWidth="1"/>
    <x:col min="5" max="5" width="28" hidden="0" customWidth="1"/>
    <x:col min="6" max="6" width="60" hidden="0" customWidth="1"/>
  </x:cols>
  <x:sheetData>
    <x:row r="1" ht="25" customHeight="1">
      <x:c r="A1" s="26" t="str">
        <x:v>Source availability &amp; intended use</x:v>
      </x:c>
      <x:c r="B1" s="27"/>
      <x:c r="C1" s="27"/>
      <x:c r="D1" s="27"/>
      <x:c r="E1" s="27"/>
      <x:c r="F1" s="28"/>
    </x:row>
    <x:row r="2">
      <x:c r="A2" s="29"/>
      <x:c r="B2" s="30"/>
      <x:c r="C2" s="30"/>
      <x:c r="D2" s="30"/>
      <x:c r="E2" s="30"/>
      <x:c r="F2" s="31"/>
    </x:row>
    <x:row r="3">
      <x:c r="A3" s="32" t="str">
        <x:v>Source category</x:v>
      </x:c>
      <x:c r="B3" s="17" t="str">
        <x:v>Expected file / period</x:v>
      </x:c>
      <x:c r="C3" s="17" t="str">
        <x:v>Availability</x:v>
      </x:c>
      <x:c r="D3" s="17" t="str">
        <x:v>Records usable</x:v>
      </x:c>
      <x:c r="E3" s="17" t="str">
        <x:v>Reconciliation status</x:v>
      </x:c>
      <x:c r="F3" s="33" t="str">
        <x:v>Comment</x:v>
      </x:c>
    </x:row>
    <x:row r="4">
      <x:c r="A4" s="34" t="str">
        <x:v>Bank statements</x:v>
      </x:c>
      <x:c r="B4" s="19" t="str">
        <x:v>Apr–Dec 2025 and Feb 2026</x:v>
      </x:c>
      <x:c r="C4" s="20" t="str">
        <x:v>Available</x:v>
      </x:c>
      <x:c r="D4" s="19" t="n">
        <x:v>481</x:v>
      </x:c>
      <x:c r="E4" s="19" t="str">
        <x:v>Bank-led extraction completed</x:v>
      </x:c>
      <x:c r="F4" s="35" t="str">
        <x:v>Ten HDFC monthly statements were accessible.</x:v>
      </x:c>
    </x:row>
    <x:row r="5">
      <x:c r="A5" s="34" t="str">
        <x:v>Bank statements</x:v>
      </x:c>
      <x:c r="B5" s="19" t="str">
        <x:v>Jan 2026</x:v>
      </x:c>
      <x:c r="C5" s="21" t="str">
        <x:v>Missing</x:v>
      </x:c>
      <x:c r="D5" s="19"/>
      <x:c r="E5" s="19" t="str">
        <x:v>Not run</x:v>
      </x:c>
      <x:c r="F5" s="35" t="str">
        <x:v>Required to complete the FY bank roll-forward.</x:v>
      </x:c>
    </x:row>
    <x:row r="6">
      <x:c r="A6" s="34" t="str">
        <x:v>Bank statements</x:v>
      </x:c>
      <x:c r="B6" s="19" t="str">
        <x:v>Mar 2026</x:v>
      </x:c>
      <x:c r="C6" s="21" t="str">
        <x:v>Missing</x:v>
      </x:c>
      <x:c r="D6" s="19"/>
      <x:c r="E6" s="19" t="str">
        <x:v>Not run</x:v>
      </x:c>
      <x:c r="F6" s="35" t="str">
        <x:v>Required to substantiate the 31-Mar-26 closing balance.</x:v>
      </x:c>
    </x:row>
    <x:row r="7">
      <x:c r="A7" s="34" t="str">
        <x:v>Dues collections</x:v>
      </x:c>
      <x:c r="B7" s="19" t="str">
        <x:v>FY2025–26 collection report</x:v>
      </x:c>
      <x:c r="C7" s="21" t="str">
        <x:v>Missing</x:v>
      </x:c>
      <x:c r="D7" s="19"/>
      <x:c r="E7" s="19" t="str">
        <x:v>Not run</x:v>
      </x:c>
      <x:c r="F7" s="35" t="str">
        <x:v>Needed for exact/fuzzy collection-to-credit matching and duplicate receipt checks.</x:v>
      </x:c>
    </x:row>
    <x:row r="8">
      <x:c r="A8" s="34" t="str">
        <x:v>Expenses</x:v>
      </x:c>
      <x:c r="B8" s="19" t="str">
        <x:v>FY2025–26 expense report</x:v>
      </x:c>
      <x:c r="C8" s="21" t="str">
        <x:v>Missing</x:v>
      </x:c>
      <x:c r="D8" s="19"/>
      <x:c r="E8" s="19" t="str">
        <x:v>Not run</x:v>
      </x:c>
      <x:c r="F8" s="35" t="str">
        <x:v>Needed for invoice-to-debit matching, unpaid-versus-paid tests, and ageing.</x:v>
      </x:c>
    </x:row>
    <x:row r="9">
      <x:c r="A9" s="34" t="str">
        <x:v>Copilot reconciliation</x:v>
      </x:c>
      <x:c r="B9" s="19" t="str">
        <x:v>UTR-matched report</x:v>
      </x:c>
      <x:c r="C9" s="21" t="str">
        <x:v>Missing</x:v>
      </x:c>
      <x:c r="D9" s="19"/>
      <x:c r="E9" s="19" t="str">
        <x:v>Not run</x:v>
      </x:c>
      <x:c r="F9" s="35" t="str">
        <x:v>Needed to validate/rework the existing UTR matching outcomes.</x:v>
      </x:c>
    </x:row>
    <x:row r="10">
      <x:c r="A10" s="29"/>
      <x:c r="B10" s="30"/>
      <x:c r="C10" s="30"/>
      <x:c r="D10" s="30"/>
      <x:c r="E10" s="30"/>
      <x:c r="F10" s="31"/>
    </x:row>
    <x:row r="11" ht="34" customHeight="1">
      <x:c r="A11" s="36" t="str">
        <x:v>Important: unmatched, duplicate-receipt, unpaid-expense, UTR-fuzzy-match, and missing-bank-transaction conclusions cannot be generated responsibly without the three accounting reports and the two missing statements. All bank rows are therefore labelled Pending source matching, not Unmatched.</x:v>
      </x:c>
      <x:c r="B11" s="25"/>
      <x:c r="C11" s="25"/>
      <x:c r="D11" s="25"/>
      <x:c r="E11" s="25"/>
      <x:c r="F11" s="37"/>
    </x:row>
    <x:row r="12" ht="34" customHeight="1">
      <x:c r="A12" s="38"/>
      <x:c r="B12" s="39"/>
      <x:c r="C12" s="39"/>
      <x:c r="D12" s="39"/>
      <x:c r="E12" s="39"/>
      <x:c r="F12" s="40"/>
    </x:row>
  </x:sheetData>
  <x:mergeCells>
    <x:mergeCell ref="A1:F1"/>
    <x:mergeCell ref="A11:F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55" hidden="0" customWidth="1"/>
  </x:cols>
  <x:sheetData>
    <x:row r="1" ht="25" customHeight="1">
      <x:c r="A1" s="4" t="str">
        <x:v>Checks — available bank-source integrity</x:v>
      </x:c>
      <x:c r="B1" s="4"/>
      <x:c r="C1" s="4"/>
      <x:c r="D1" s="4"/>
      <x:c r="E1" s="4"/>
      <x:c r="F1" s="4"/>
      <x:c r="G1" s="4"/>
    </x:row>
    <x:row r="3">
      <x:c r="A3" s="16" t="str">
        <x:v>Check</x:v>
      </x:c>
      <x:c r="B3" s="17" t="str">
        <x:v>Actual</x:v>
      </x:c>
      <x:c r="C3" s="17" t="str">
        <x:v>Expected</x:v>
      </x:c>
      <x:c r="D3" s="17" t="str">
        <x:v>Difference</x:v>
      </x:c>
      <x:c r="E3" s="17" t="str">
        <x:v>Tolerance</x:v>
      </x:c>
      <x:c r="F3" s="17" t="str">
        <x:v>Status</x:v>
      </x:c>
      <x:c r="G3" s="18" t="str">
        <x:v>Notes</x:v>
      </x:c>
    </x:row>
    <x:row r="4">
      <x:c r="A4" t="str">
        <x:v>Bank credits tie to Master Bank</x:v>
      </x:c>
      <x:c r="B4" s="42" t="n">
        <x:f>SUM('Master Bank'!$H$4:$H$484)</x:f>
        <x:v>7677620.1000000015</x:v>
      </x:c>
      <x:c r="C4" s="42" t="n">
        <x:f>SUM('Month Summary'!$D$4:$D$15)</x:f>
        <x:v>7677620.100000001</x:v>
      </x:c>
      <x:c r="D4" s="42" t="n">
        <x:f>B4-C4</x:f>
        <x:v>9.313225746154785e-10</x:v>
      </x:c>
      <x:c r="E4" s="42" t="n">
        <x:v>0.01</x:v>
      </x:c>
      <x:c r="F4" t="str">
        <x:f>IF(ABS(D4)&lt;=E4,"OK","FAIL")</x:f>
        <x:v>OK</x:v>
      </x:c>
      <x:c r="G4" t="str">
        <x:v>Available statements only</x:v>
      </x:c>
    </x:row>
    <x:row r="5">
      <x:c r="A5" t="str">
        <x:v>Bank debits tie to Master Bank</x:v>
      </x:c>
      <x:c r="B5" s="42" t="n">
        <x:f>SUM('Master Bank'!$G$4:$G$484)</x:f>
        <x:v>6906793</x:v>
      </x:c>
      <x:c r="C5" s="42" t="n">
        <x:f>SUM('Month Summary'!$E$4:$E$15)</x:f>
        <x:v>6906793</x:v>
      </x:c>
      <x:c r="D5" s="42" t="n">
        <x:f>B5-C5</x:f>
        <x:v>0</x:v>
      </x:c>
      <x:c r="E5" s="42" t="n">
        <x:v>0.01</x:v>
      </x:c>
      <x:c r="F5" t="str">
        <x:f>IF(ABS(D5)&lt;=E5,"OK","FAIL")</x:f>
        <x:v>OK</x:v>
      </x:c>
      <x:c r="G5" t="str">
        <x:v>Available statements only</x:v>
      </x:c>
    </x:row>
    <x:row r="6">
      <x:c r="A6" t="str">
        <x:v>Monthly roll-forward max difference</x:v>
      </x:c>
      <x:c r="B6" s="42" t="n">
        <x:f>MAX(MAX('Month Summary'!$L$4:$L$15),-MIN('Month Summary'!$L$4:$L$15))</x:f>
        <x:v>5.820766091346741e-11</x:v>
      </x:c>
      <x:c r="C6" s="42" t="n">
        <x:v>0</x:v>
      </x:c>
      <x:c r="D6" s="42" t="n">
        <x:f>B6-C6</x:f>
        <x:v>5.820766091346741e-11</x:v>
      </x:c>
      <x:c r="E6" s="42" t="n">
        <x:v>0.01</x:v>
      </x:c>
      <x:c r="F6" t="str">
        <x:f>IF(ABS(D6)&lt;=E6,"OK","FAIL")</x:f>
        <x:v>OK</x:v>
      </x:c>
      <x:c r="G6" t="str">
        <x:v>Excludes Jan-26 / Mar-26 because statements are missing</x:v>
      </x:c>
    </x:row>
    <x:row r="7">
      <x:c r="A7" t="str">
        <x:v>Possible exact duplicate bank rows</x:v>
      </x:c>
      <x:c r="B7" s="42" t="n">
        <x:f>COUNTIF('Master Bank'!$M$4:$M$484,"Possible duplicate")</x:f>
        <x:v>0</x:v>
      </x:c>
      <x:c r="C7" s="42" t="n">
        <x:v>0</x:v>
      </x:c>
      <x:c r="D7" s="42" t="n">
        <x:f>B7-C7</x:f>
        <x:v>0</x:v>
      </x:c>
      <x:c r="E7" s="42" t="n">
        <x:v>0</x:v>
      </x:c>
      <x:c r="F7" t="str">
        <x:f>IF(ABS(D7)&lt;=E7,"OK","FAIL")</x:f>
        <x:v>OK</x:v>
      </x:c>
      <x:c r="G7" t="str">
        <x:v>Same date, direction, amount, narration and reference</x:v>
      </x:c>
    </x:row>
  </x:sheetData>
  <x:mergeCells>
    <x:mergeCell ref="A1:G1"/>
  </x:mergeCells>
  <x:conditionalFormatting sqref="F4:F7">
    <x:cfRule type="containsText" dxfId="4" priority="1" operator="containsText" text="OK"/>
    <x:cfRule type="containsText" dxfId="5" priority="2" operator="containsText" text="FAIL"/>
  </x:conditionalFormatting>
  <x:pageMargins left="0.7" right="0.7" top="0.75" bottom="0.75" header="0.3" footer="0.3"/>
</x:worksheet>
</file>